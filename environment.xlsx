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\Documents\"/>
    </mc:Choice>
  </mc:AlternateContent>
  <xr:revisionPtr revIDLastSave="0" documentId="13_ncr:1_{E1BA3143-7A83-49C4-8EA1-3EB5EDF51DB7}" xr6:coauthVersionLast="47" xr6:coauthVersionMax="47" xr10:uidLastSave="{00000000-0000-0000-0000-000000000000}"/>
  <bookViews>
    <workbookView xWindow="-108" yWindow="-108" windowWidth="23256" windowHeight="12456" activeTab="1" xr2:uid="{AE6C2C3F-05AA-4284-98AF-22985989A5F6}"/>
  </bookViews>
  <sheets>
    <sheet name="1995-2015C" sheetId="12" r:id="rId1"/>
    <sheet name="index-units" sheetId="6" r:id="rId2"/>
    <sheet name="customiz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09" i="12" l="1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2" i="2"/>
  <c r="B3" i="2"/>
  <c r="E3" i="2" s="1"/>
  <c r="B4" i="2"/>
  <c r="E4" i="2" s="1"/>
  <c r="B5" i="2"/>
  <c r="E5" i="2" s="1"/>
  <c r="B6" i="2"/>
  <c r="E6" i="2" s="1"/>
  <c r="B7" i="2"/>
  <c r="E7" i="2" s="1"/>
  <c r="B8" i="2"/>
  <c r="E8" i="2" s="1"/>
  <c r="B9" i="2"/>
  <c r="E9" i="2" s="1"/>
  <c r="B10" i="2"/>
  <c r="E10" i="2" s="1"/>
  <c r="B11" i="2"/>
  <c r="E11" i="2" s="1"/>
  <c r="B12" i="2"/>
  <c r="E12" i="2" s="1"/>
  <c r="B13" i="2"/>
  <c r="E13" i="2" s="1"/>
  <c r="B14" i="2"/>
  <c r="E14" i="2" s="1"/>
  <c r="B15" i="2"/>
  <c r="E15" i="2" s="1"/>
  <c r="B16" i="2"/>
  <c r="E16" i="2" s="1"/>
  <c r="B17" i="2"/>
  <c r="E17" i="2" s="1"/>
  <c r="B18" i="2"/>
  <c r="E18" i="2" s="1"/>
  <c r="B19" i="2"/>
  <c r="E19" i="2" s="1"/>
  <c r="B20" i="2"/>
  <c r="E20" i="2" s="1"/>
  <c r="B21" i="2"/>
  <c r="E21" i="2" s="1"/>
  <c r="B22" i="2"/>
  <c r="E22" i="2" s="1"/>
  <c r="B23" i="2"/>
  <c r="E23" i="2" s="1"/>
  <c r="B24" i="2"/>
  <c r="E24" i="2" s="1"/>
  <c r="B25" i="2"/>
  <c r="E25" i="2" s="1"/>
  <c r="B26" i="2"/>
  <c r="E26" i="2" s="1"/>
  <c r="B27" i="2"/>
  <c r="E27" i="2" s="1"/>
  <c r="B28" i="2"/>
  <c r="E28" i="2" s="1"/>
  <c r="B29" i="2"/>
  <c r="E29" i="2" s="1"/>
  <c r="B30" i="2"/>
  <c r="E30" i="2" s="1"/>
  <c r="B31" i="2"/>
  <c r="E31" i="2" s="1"/>
  <c r="B32" i="2"/>
  <c r="E32" i="2" s="1"/>
  <c r="B33" i="2"/>
  <c r="E33" i="2" s="1"/>
  <c r="B34" i="2"/>
  <c r="E34" i="2" s="1"/>
  <c r="B35" i="2"/>
  <c r="E35" i="2" s="1"/>
  <c r="B36" i="2"/>
  <c r="E36" i="2" s="1"/>
  <c r="B37" i="2"/>
  <c r="E37" i="2" s="1"/>
  <c r="B38" i="2"/>
  <c r="E38" i="2" s="1"/>
  <c r="B39" i="2"/>
  <c r="E39" i="2" s="1"/>
  <c r="B40" i="2"/>
  <c r="E40" i="2" s="1"/>
  <c r="B41" i="2"/>
  <c r="E41" i="2" s="1"/>
  <c r="B42" i="2"/>
  <c r="E42" i="2" s="1"/>
  <c r="B43" i="2"/>
  <c r="E43" i="2" s="1"/>
  <c r="B44" i="2"/>
  <c r="E44" i="2" s="1"/>
  <c r="B45" i="2"/>
  <c r="E45" i="2" s="1"/>
  <c r="B46" i="2"/>
  <c r="E46" i="2" s="1"/>
  <c r="B47" i="2"/>
  <c r="E47" i="2" s="1"/>
  <c r="B48" i="2"/>
  <c r="E48" i="2" s="1"/>
  <c r="B49" i="2"/>
  <c r="E49" i="2" s="1"/>
  <c r="B50" i="2"/>
  <c r="E50" i="2" s="1"/>
  <c r="B51" i="2"/>
  <c r="E51" i="2" s="1"/>
  <c r="B52" i="2"/>
  <c r="E52" i="2" s="1"/>
  <c r="B53" i="2"/>
  <c r="E53" i="2" s="1"/>
  <c r="B54" i="2"/>
  <c r="E54" i="2" s="1"/>
  <c r="B55" i="2"/>
  <c r="E55" i="2" s="1"/>
  <c r="B56" i="2"/>
  <c r="E56" i="2" s="1"/>
  <c r="B57" i="2"/>
  <c r="E57" i="2" s="1"/>
  <c r="B58" i="2"/>
  <c r="E58" i="2" s="1"/>
  <c r="B59" i="2"/>
  <c r="E59" i="2" s="1"/>
  <c r="B60" i="2"/>
  <c r="E60" i="2" s="1"/>
  <c r="B61" i="2"/>
  <c r="E61" i="2" s="1"/>
  <c r="B62" i="2"/>
  <c r="E62" i="2" s="1"/>
  <c r="B63" i="2"/>
  <c r="E63" i="2" s="1"/>
  <c r="B64" i="2"/>
  <c r="E64" i="2" s="1"/>
  <c r="B65" i="2"/>
  <c r="E65" i="2" s="1"/>
  <c r="B66" i="2"/>
  <c r="E66" i="2" s="1"/>
  <c r="B67" i="2"/>
  <c r="E67" i="2" s="1"/>
  <c r="B68" i="2"/>
  <c r="E68" i="2" s="1"/>
  <c r="B69" i="2"/>
  <c r="E69" i="2" s="1"/>
  <c r="B70" i="2"/>
  <c r="E70" i="2" s="1"/>
  <c r="B71" i="2"/>
  <c r="E71" i="2" s="1"/>
  <c r="B72" i="2"/>
  <c r="E72" i="2" s="1"/>
  <c r="B73" i="2"/>
  <c r="E73" i="2" s="1"/>
  <c r="B74" i="2"/>
  <c r="E74" i="2" s="1"/>
  <c r="B75" i="2"/>
  <c r="E75" i="2" s="1"/>
  <c r="B76" i="2"/>
  <c r="E76" i="2" s="1"/>
  <c r="B77" i="2"/>
  <c r="E77" i="2" s="1"/>
  <c r="B78" i="2"/>
  <c r="E78" i="2" s="1"/>
  <c r="B79" i="2"/>
  <c r="E79" i="2" s="1"/>
  <c r="B80" i="2"/>
  <c r="E80" i="2" s="1"/>
  <c r="B81" i="2"/>
  <c r="E81" i="2" s="1"/>
  <c r="B82" i="2"/>
  <c r="E82" i="2" s="1"/>
  <c r="B83" i="2"/>
  <c r="E83" i="2" s="1"/>
  <c r="B84" i="2"/>
  <c r="E84" i="2" s="1"/>
  <c r="B85" i="2"/>
  <c r="E85" i="2" s="1"/>
  <c r="B86" i="2"/>
  <c r="E86" i="2" s="1"/>
  <c r="B87" i="2"/>
  <c r="E87" i="2" s="1"/>
  <c r="B88" i="2"/>
  <c r="E88" i="2" s="1"/>
  <c r="B89" i="2"/>
  <c r="E89" i="2" s="1"/>
  <c r="B90" i="2"/>
  <c r="E90" i="2" s="1"/>
  <c r="B91" i="2"/>
  <c r="E91" i="2" s="1"/>
  <c r="B92" i="2"/>
  <c r="E92" i="2" s="1"/>
  <c r="B93" i="2"/>
  <c r="E93" i="2" s="1"/>
  <c r="B94" i="2"/>
  <c r="E94" i="2" s="1"/>
  <c r="B95" i="2"/>
  <c r="E95" i="2" s="1"/>
  <c r="B96" i="2"/>
  <c r="E96" i="2" s="1"/>
  <c r="B97" i="2"/>
  <c r="E97" i="2" s="1"/>
  <c r="B98" i="2"/>
  <c r="E98" i="2" s="1"/>
  <c r="B99" i="2"/>
  <c r="E99" i="2" s="1"/>
  <c r="B100" i="2"/>
  <c r="E100" i="2" s="1"/>
  <c r="B101" i="2"/>
  <c r="E101" i="2" s="1"/>
  <c r="B102" i="2"/>
  <c r="E102" i="2" s="1"/>
  <c r="B103" i="2"/>
  <c r="E103" i="2" s="1"/>
  <c r="B104" i="2"/>
  <c r="E104" i="2" s="1"/>
  <c r="B105" i="2"/>
  <c r="E105" i="2" s="1"/>
  <c r="B106" i="2"/>
  <c r="E106" i="2" s="1"/>
  <c r="B107" i="2"/>
  <c r="E107" i="2" s="1"/>
  <c r="B108" i="2"/>
  <c r="E108" i="2" s="1"/>
  <c r="B109" i="2"/>
  <c r="E109" i="2" s="1"/>
  <c r="B110" i="2"/>
  <c r="E110" i="2" s="1"/>
  <c r="B111" i="2"/>
  <c r="E111" i="2" s="1"/>
  <c r="B112" i="2"/>
  <c r="E112" i="2" s="1"/>
  <c r="B113" i="2"/>
  <c r="E113" i="2" s="1"/>
  <c r="B114" i="2"/>
  <c r="E114" i="2" s="1"/>
  <c r="B115" i="2"/>
  <c r="E115" i="2" s="1"/>
  <c r="B116" i="2"/>
  <c r="E116" i="2" s="1"/>
  <c r="B117" i="2"/>
  <c r="E117" i="2" s="1"/>
  <c r="B118" i="2"/>
  <c r="E118" i="2" s="1"/>
  <c r="B119" i="2"/>
  <c r="E119" i="2" s="1"/>
  <c r="B120" i="2"/>
  <c r="E120" i="2" s="1"/>
  <c r="B121" i="2"/>
  <c r="E121" i="2" s="1"/>
  <c r="B122" i="2"/>
  <c r="E122" i="2" s="1"/>
  <c r="B123" i="2"/>
  <c r="E123" i="2" s="1"/>
  <c r="B124" i="2"/>
  <c r="E124" i="2" s="1"/>
  <c r="B125" i="2"/>
  <c r="E125" i="2" s="1"/>
  <c r="B126" i="2"/>
  <c r="E126" i="2" s="1"/>
  <c r="B127" i="2"/>
  <c r="E127" i="2" s="1"/>
  <c r="B128" i="2"/>
  <c r="E128" i="2" s="1"/>
  <c r="B129" i="2"/>
  <c r="E129" i="2" s="1"/>
  <c r="B130" i="2"/>
  <c r="E130" i="2" s="1"/>
  <c r="B131" i="2"/>
  <c r="E131" i="2" s="1"/>
  <c r="B132" i="2"/>
  <c r="E132" i="2" s="1"/>
  <c r="B133" i="2"/>
  <c r="E133" i="2" s="1"/>
  <c r="B134" i="2"/>
  <c r="E134" i="2" s="1"/>
  <c r="B135" i="2"/>
  <c r="E135" i="2" s="1"/>
  <c r="B136" i="2"/>
  <c r="E136" i="2" s="1"/>
  <c r="B137" i="2"/>
  <c r="E137" i="2" s="1"/>
  <c r="B138" i="2"/>
  <c r="E138" i="2" s="1"/>
  <c r="B139" i="2"/>
  <c r="E139" i="2" s="1"/>
  <c r="B140" i="2"/>
  <c r="E140" i="2" s="1"/>
  <c r="B141" i="2"/>
  <c r="E141" i="2" s="1"/>
  <c r="B142" i="2"/>
  <c r="E142" i="2" s="1"/>
  <c r="B143" i="2"/>
  <c r="E143" i="2" s="1"/>
  <c r="B144" i="2"/>
  <c r="E144" i="2" s="1"/>
  <c r="B145" i="2"/>
  <c r="E145" i="2" s="1"/>
  <c r="B146" i="2"/>
  <c r="E146" i="2" s="1"/>
  <c r="B147" i="2"/>
  <c r="E147" i="2" s="1"/>
  <c r="B148" i="2"/>
  <c r="E148" i="2" s="1"/>
  <c r="B149" i="2"/>
  <c r="E149" i="2" s="1"/>
  <c r="B150" i="2"/>
  <c r="E150" i="2" s="1"/>
  <c r="B151" i="2"/>
  <c r="E151" i="2" s="1"/>
  <c r="B152" i="2"/>
  <c r="E152" i="2" s="1"/>
  <c r="B153" i="2"/>
  <c r="E153" i="2" s="1"/>
  <c r="B154" i="2"/>
  <c r="E154" i="2" s="1"/>
  <c r="B155" i="2"/>
  <c r="E155" i="2" s="1"/>
  <c r="B156" i="2"/>
  <c r="E156" i="2" s="1"/>
  <c r="B157" i="2"/>
  <c r="E157" i="2" s="1"/>
  <c r="B158" i="2"/>
  <c r="E158" i="2" s="1"/>
  <c r="B159" i="2"/>
  <c r="E159" i="2" s="1"/>
  <c r="B160" i="2"/>
  <c r="E160" i="2" s="1"/>
  <c r="B161" i="2"/>
  <c r="E161" i="2" s="1"/>
  <c r="B162" i="2"/>
  <c r="E162" i="2" s="1"/>
  <c r="B163" i="2"/>
  <c r="E163" i="2" s="1"/>
  <c r="B164" i="2"/>
  <c r="E164" i="2" s="1"/>
  <c r="B165" i="2"/>
  <c r="E165" i="2" s="1"/>
  <c r="B166" i="2"/>
  <c r="E166" i="2" s="1"/>
  <c r="B167" i="2"/>
  <c r="E167" i="2" s="1"/>
  <c r="B168" i="2"/>
  <c r="E168" i="2" s="1"/>
  <c r="B169" i="2"/>
  <c r="E169" i="2" s="1"/>
  <c r="B170" i="2"/>
  <c r="E170" i="2" s="1"/>
  <c r="B171" i="2"/>
  <c r="E171" i="2" s="1"/>
  <c r="B172" i="2"/>
  <c r="E172" i="2" s="1"/>
  <c r="B173" i="2"/>
  <c r="E173" i="2" s="1"/>
  <c r="B174" i="2"/>
  <c r="E174" i="2" s="1"/>
  <c r="B175" i="2"/>
  <c r="E175" i="2" s="1"/>
  <c r="B176" i="2"/>
  <c r="E176" i="2" s="1"/>
  <c r="B177" i="2"/>
  <c r="E177" i="2" s="1"/>
  <c r="B178" i="2"/>
  <c r="E178" i="2" s="1"/>
  <c r="B179" i="2"/>
  <c r="E179" i="2" s="1"/>
  <c r="B180" i="2"/>
  <c r="E180" i="2" s="1"/>
  <c r="B181" i="2"/>
  <c r="E181" i="2" s="1"/>
  <c r="B182" i="2"/>
  <c r="E182" i="2" s="1"/>
  <c r="B183" i="2"/>
  <c r="E183" i="2" s="1"/>
  <c r="B184" i="2"/>
  <c r="E184" i="2" s="1"/>
  <c r="B185" i="2"/>
  <c r="E185" i="2" s="1"/>
  <c r="B186" i="2"/>
  <c r="E186" i="2" s="1"/>
  <c r="B187" i="2"/>
  <c r="E187" i="2" s="1"/>
  <c r="B188" i="2"/>
  <c r="E188" i="2" s="1"/>
  <c r="B189" i="2"/>
  <c r="E189" i="2" s="1"/>
  <c r="B190" i="2"/>
  <c r="E190" i="2" s="1"/>
  <c r="B191" i="2"/>
  <c r="E191" i="2" s="1"/>
  <c r="B192" i="2"/>
  <c r="E192" i="2" s="1"/>
  <c r="B193" i="2"/>
  <c r="E193" i="2" s="1"/>
  <c r="B194" i="2"/>
  <c r="E194" i="2" s="1"/>
  <c r="B195" i="2"/>
  <c r="E195" i="2" s="1"/>
  <c r="B196" i="2"/>
  <c r="E196" i="2" s="1"/>
  <c r="B197" i="2"/>
  <c r="E197" i="2" s="1"/>
  <c r="B198" i="2"/>
  <c r="E198" i="2" s="1"/>
  <c r="B199" i="2"/>
  <c r="E199" i="2" s="1"/>
  <c r="B200" i="2"/>
  <c r="E200" i="2" s="1"/>
  <c r="B201" i="2"/>
  <c r="E201" i="2" s="1"/>
  <c r="B202" i="2"/>
  <c r="E202" i="2" s="1"/>
  <c r="B203" i="2"/>
  <c r="E203" i="2" s="1"/>
  <c r="B204" i="2"/>
  <c r="E204" i="2" s="1"/>
  <c r="B205" i="2"/>
  <c r="E205" i="2" s="1"/>
  <c r="B206" i="2"/>
  <c r="E206" i="2" s="1"/>
  <c r="B207" i="2"/>
  <c r="E207" i="2" s="1"/>
  <c r="B208" i="2"/>
  <c r="E208" i="2" s="1"/>
  <c r="B209" i="2"/>
  <c r="E209" i="2" s="1"/>
  <c r="B210" i="2"/>
  <c r="E210" i="2" s="1"/>
  <c r="B211" i="2"/>
  <c r="E211" i="2" s="1"/>
  <c r="B212" i="2"/>
  <c r="E212" i="2" s="1"/>
  <c r="B213" i="2"/>
  <c r="E213" i="2" s="1"/>
  <c r="B214" i="2"/>
  <c r="E214" i="2" s="1"/>
  <c r="B215" i="2"/>
  <c r="E215" i="2" s="1"/>
  <c r="B216" i="2"/>
  <c r="E216" i="2" s="1"/>
  <c r="B217" i="2"/>
  <c r="E217" i="2" s="1"/>
  <c r="B218" i="2"/>
  <c r="E218" i="2" s="1"/>
  <c r="B219" i="2"/>
  <c r="E219" i="2" s="1"/>
  <c r="B220" i="2"/>
  <c r="E220" i="2" s="1"/>
  <c r="B221" i="2"/>
  <c r="E221" i="2" s="1"/>
  <c r="B222" i="2"/>
  <c r="E222" i="2" s="1"/>
  <c r="B223" i="2"/>
  <c r="E223" i="2" s="1"/>
  <c r="B224" i="2"/>
  <c r="E224" i="2" s="1"/>
  <c r="B225" i="2"/>
  <c r="E225" i="2" s="1"/>
  <c r="B226" i="2"/>
  <c r="E226" i="2" s="1"/>
  <c r="B227" i="2"/>
  <c r="E227" i="2" s="1"/>
  <c r="B228" i="2"/>
  <c r="E228" i="2" s="1"/>
  <c r="B229" i="2"/>
  <c r="E229" i="2" s="1"/>
  <c r="B230" i="2"/>
  <c r="E230" i="2" s="1"/>
  <c r="B231" i="2"/>
  <c r="E231" i="2" s="1"/>
  <c r="B232" i="2"/>
  <c r="E232" i="2" s="1"/>
  <c r="B233" i="2"/>
  <c r="E233" i="2" s="1"/>
  <c r="B234" i="2"/>
  <c r="E234" i="2" s="1"/>
  <c r="B235" i="2"/>
  <c r="E235" i="2" s="1"/>
  <c r="B236" i="2"/>
  <c r="E236" i="2" s="1"/>
  <c r="B237" i="2"/>
  <c r="E237" i="2" s="1"/>
  <c r="B238" i="2"/>
  <c r="E238" i="2" s="1"/>
  <c r="B239" i="2"/>
  <c r="E239" i="2" s="1"/>
  <c r="B240" i="2"/>
  <c r="E240" i="2" s="1"/>
  <c r="B241" i="2"/>
  <c r="E241" i="2" s="1"/>
  <c r="B242" i="2"/>
  <c r="E242" i="2" s="1"/>
  <c r="B243" i="2"/>
  <c r="E243" i="2" s="1"/>
  <c r="B244" i="2"/>
  <c r="E244" i="2" s="1"/>
  <c r="B245" i="2"/>
  <c r="E245" i="2" s="1"/>
  <c r="B246" i="2"/>
  <c r="E246" i="2" s="1"/>
  <c r="B247" i="2"/>
  <c r="E247" i="2" s="1"/>
  <c r="B248" i="2"/>
  <c r="E248" i="2" s="1"/>
  <c r="B249" i="2"/>
  <c r="E249" i="2" s="1"/>
  <c r="B250" i="2"/>
  <c r="E250" i="2" s="1"/>
  <c r="B251" i="2"/>
  <c r="E251" i="2" s="1"/>
  <c r="B252" i="2"/>
  <c r="E252" i="2" s="1"/>
  <c r="B253" i="2"/>
  <c r="E253" i="2" s="1"/>
  <c r="B254" i="2"/>
  <c r="E254" i="2" s="1"/>
  <c r="B255" i="2"/>
  <c r="E255" i="2" s="1"/>
  <c r="B256" i="2"/>
  <c r="E256" i="2" s="1"/>
  <c r="B257" i="2"/>
  <c r="E257" i="2" s="1"/>
  <c r="B258" i="2"/>
  <c r="E258" i="2" s="1"/>
  <c r="B259" i="2"/>
  <c r="E259" i="2" s="1"/>
  <c r="B260" i="2"/>
  <c r="E260" i="2" s="1"/>
  <c r="B261" i="2"/>
  <c r="E261" i="2" s="1"/>
  <c r="B262" i="2"/>
  <c r="E262" i="2" s="1"/>
  <c r="B263" i="2"/>
  <c r="E263" i="2" s="1"/>
  <c r="B264" i="2"/>
  <c r="E264" i="2" s="1"/>
  <c r="B265" i="2"/>
  <c r="E265" i="2" s="1"/>
  <c r="B266" i="2"/>
  <c r="E266" i="2" s="1"/>
  <c r="B267" i="2"/>
  <c r="E267" i="2" s="1"/>
  <c r="B268" i="2"/>
  <c r="E268" i="2" s="1"/>
  <c r="B269" i="2"/>
  <c r="E269" i="2" s="1"/>
  <c r="B270" i="2"/>
  <c r="E270" i="2" s="1"/>
  <c r="B271" i="2"/>
  <c r="E271" i="2" s="1"/>
  <c r="B272" i="2"/>
  <c r="E272" i="2" s="1"/>
  <c r="B273" i="2"/>
  <c r="E273" i="2" s="1"/>
  <c r="B274" i="2"/>
  <c r="E274" i="2" s="1"/>
  <c r="B275" i="2"/>
  <c r="E275" i="2" s="1"/>
  <c r="B276" i="2"/>
  <c r="E276" i="2" s="1"/>
  <c r="B277" i="2"/>
  <c r="E277" i="2" s="1"/>
  <c r="B278" i="2"/>
  <c r="E278" i="2" s="1"/>
  <c r="B279" i="2"/>
  <c r="E279" i="2" s="1"/>
  <c r="B280" i="2"/>
  <c r="E280" i="2" s="1"/>
  <c r="B281" i="2"/>
  <c r="E281" i="2" s="1"/>
  <c r="B282" i="2"/>
  <c r="E282" i="2" s="1"/>
  <c r="B283" i="2"/>
  <c r="E283" i="2" s="1"/>
  <c r="B284" i="2"/>
  <c r="E284" i="2" s="1"/>
  <c r="B285" i="2"/>
  <c r="E285" i="2" s="1"/>
  <c r="B286" i="2"/>
  <c r="E286" i="2" s="1"/>
  <c r="B287" i="2"/>
  <c r="E287" i="2" s="1"/>
  <c r="B288" i="2"/>
  <c r="E288" i="2" s="1"/>
  <c r="B289" i="2"/>
  <c r="E289" i="2" s="1"/>
  <c r="B290" i="2"/>
  <c r="E290" i="2" s="1"/>
  <c r="B291" i="2"/>
  <c r="E291" i="2" s="1"/>
  <c r="B292" i="2"/>
  <c r="E292" i="2" s="1"/>
  <c r="B293" i="2"/>
  <c r="E293" i="2" s="1"/>
  <c r="B294" i="2"/>
  <c r="E294" i="2" s="1"/>
  <c r="B295" i="2"/>
  <c r="E295" i="2" s="1"/>
  <c r="B296" i="2"/>
  <c r="E296" i="2" s="1"/>
  <c r="B297" i="2"/>
  <c r="E297" i="2" s="1"/>
  <c r="B298" i="2"/>
  <c r="E298" i="2" s="1"/>
  <c r="B299" i="2"/>
  <c r="E299" i="2" s="1"/>
  <c r="B300" i="2"/>
  <c r="E300" i="2" s="1"/>
  <c r="B301" i="2"/>
  <c r="E301" i="2" s="1"/>
  <c r="B302" i="2"/>
  <c r="E302" i="2" s="1"/>
  <c r="B303" i="2"/>
  <c r="E303" i="2" s="1"/>
  <c r="B304" i="2"/>
  <c r="E304" i="2" s="1"/>
  <c r="B305" i="2"/>
  <c r="E305" i="2" s="1"/>
  <c r="B306" i="2"/>
  <c r="E306" i="2" s="1"/>
  <c r="B307" i="2"/>
  <c r="E307" i="2" s="1"/>
  <c r="B308" i="2"/>
  <c r="E308" i="2" s="1"/>
  <c r="B309" i="2"/>
  <c r="E309" i="2" s="1"/>
  <c r="B310" i="2"/>
  <c r="E310" i="2" s="1"/>
  <c r="B311" i="2"/>
  <c r="E311" i="2" s="1"/>
  <c r="B312" i="2"/>
  <c r="E312" i="2" s="1"/>
  <c r="B313" i="2"/>
  <c r="E313" i="2" s="1"/>
  <c r="B314" i="2"/>
  <c r="E314" i="2" s="1"/>
  <c r="B315" i="2"/>
  <c r="E315" i="2" s="1"/>
  <c r="B316" i="2"/>
  <c r="E316" i="2" s="1"/>
  <c r="B317" i="2"/>
  <c r="E317" i="2" s="1"/>
  <c r="B318" i="2"/>
  <c r="E318" i="2" s="1"/>
  <c r="B319" i="2"/>
  <c r="E319" i="2" s="1"/>
  <c r="B320" i="2"/>
  <c r="E320" i="2" s="1"/>
  <c r="B321" i="2"/>
  <c r="E321" i="2" s="1"/>
  <c r="B322" i="2"/>
  <c r="E322" i="2" s="1"/>
  <c r="B323" i="2"/>
  <c r="E323" i="2" s="1"/>
  <c r="B324" i="2"/>
  <c r="E324" i="2" s="1"/>
  <c r="B325" i="2"/>
  <c r="E325" i="2" s="1"/>
  <c r="B326" i="2"/>
  <c r="E326" i="2" s="1"/>
  <c r="B327" i="2"/>
  <c r="E327" i="2" s="1"/>
  <c r="B328" i="2"/>
  <c r="E328" i="2" s="1"/>
  <c r="B329" i="2"/>
  <c r="E329" i="2" s="1"/>
  <c r="B330" i="2"/>
  <c r="E330" i="2" s="1"/>
  <c r="B331" i="2"/>
  <c r="E331" i="2" s="1"/>
  <c r="B332" i="2"/>
  <c r="E332" i="2" s="1"/>
  <c r="B333" i="2"/>
  <c r="E333" i="2" s="1"/>
  <c r="B334" i="2"/>
  <c r="E334" i="2" s="1"/>
  <c r="B335" i="2"/>
  <c r="E335" i="2" s="1"/>
  <c r="B336" i="2"/>
  <c r="E336" i="2" s="1"/>
  <c r="B337" i="2"/>
  <c r="E337" i="2" s="1"/>
  <c r="B338" i="2"/>
  <c r="E338" i="2" s="1"/>
  <c r="B339" i="2"/>
  <c r="E339" i="2" s="1"/>
  <c r="B340" i="2"/>
  <c r="E340" i="2" s="1"/>
  <c r="B341" i="2"/>
  <c r="E341" i="2" s="1"/>
  <c r="B342" i="2"/>
  <c r="E342" i="2" s="1"/>
  <c r="B343" i="2"/>
  <c r="E343" i="2" s="1"/>
  <c r="B344" i="2"/>
  <c r="E344" i="2" s="1"/>
  <c r="B345" i="2"/>
  <c r="E345" i="2" s="1"/>
  <c r="B346" i="2"/>
  <c r="E346" i="2" s="1"/>
  <c r="B347" i="2"/>
  <c r="E347" i="2" s="1"/>
  <c r="B348" i="2"/>
  <c r="E348" i="2" s="1"/>
  <c r="B349" i="2"/>
  <c r="E349" i="2" s="1"/>
  <c r="B350" i="2"/>
  <c r="E350" i="2" s="1"/>
  <c r="B351" i="2"/>
  <c r="E351" i="2" s="1"/>
  <c r="B352" i="2"/>
  <c r="E352" i="2" s="1"/>
  <c r="B353" i="2"/>
  <c r="E353" i="2" s="1"/>
  <c r="B354" i="2"/>
  <c r="E354" i="2" s="1"/>
  <c r="B355" i="2"/>
  <c r="E355" i="2" s="1"/>
  <c r="B356" i="2"/>
  <c r="E356" i="2" s="1"/>
  <c r="B357" i="2"/>
  <c r="E357" i="2" s="1"/>
  <c r="B358" i="2"/>
  <c r="E358" i="2" s="1"/>
  <c r="B359" i="2"/>
  <c r="E359" i="2" s="1"/>
  <c r="B360" i="2"/>
  <c r="E360" i="2" s="1"/>
  <c r="B361" i="2"/>
  <c r="E361" i="2" s="1"/>
  <c r="B362" i="2"/>
  <c r="E362" i="2" s="1"/>
  <c r="B363" i="2"/>
  <c r="E363" i="2" s="1"/>
  <c r="B364" i="2"/>
  <c r="E364" i="2" s="1"/>
  <c r="B365" i="2"/>
  <c r="E365" i="2" s="1"/>
  <c r="B366" i="2"/>
  <c r="E366" i="2" s="1"/>
  <c r="B367" i="2"/>
  <c r="E367" i="2" s="1"/>
  <c r="B368" i="2"/>
  <c r="E368" i="2" s="1"/>
  <c r="B369" i="2"/>
  <c r="E369" i="2" s="1"/>
  <c r="B370" i="2"/>
  <c r="E370" i="2" s="1"/>
  <c r="B371" i="2"/>
  <c r="E371" i="2" s="1"/>
  <c r="B372" i="2"/>
  <c r="E372" i="2" s="1"/>
  <c r="B373" i="2"/>
  <c r="E373" i="2" s="1"/>
  <c r="B374" i="2"/>
  <c r="E374" i="2" s="1"/>
  <c r="B375" i="2"/>
  <c r="E375" i="2" s="1"/>
  <c r="B376" i="2"/>
  <c r="E376" i="2" s="1"/>
  <c r="B377" i="2"/>
  <c r="E377" i="2" s="1"/>
  <c r="B378" i="2"/>
  <c r="E378" i="2" s="1"/>
  <c r="B379" i="2"/>
  <c r="E379" i="2" s="1"/>
  <c r="B380" i="2"/>
  <c r="E380" i="2" s="1"/>
  <c r="B381" i="2"/>
  <c r="E381" i="2" s="1"/>
  <c r="B382" i="2"/>
  <c r="E382" i="2" s="1"/>
  <c r="B383" i="2"/>
  <c r="E383" i="2" s="1"/>
  <c r="B384" i="2"/>
  <c r="E384" i="2" s="1"/>
  <c r="B385" i="2"/>
  <c r="E385" i="2" s="1"/>
  <c r="B386" i="2"/>
  <c r="E386" i="2" s="1"/>
  <c r="B387" i="2"/>
  <c r="E387" i="2" s="1"/>
  <c r="B388" i="2"/>
  <c r="E388" i="2" s="1"/>
  <c r="B389" i="2"/>
  <c r="E389" i="2" s="1"/>
  <c r="B390" i="2"/>
  <c r="E390" i="2" s="1"/>
  <c r="B391" i="2"/>
  <c r="E391" i="2" s="1"/>
  <c r="B392" i="2"/>
  <c r="E392" i="2" s="1"/>
  <c r="B393" i="2"/>
  <c r="E393" i="2" s="1"/>
  <c r="B394" i="2"/>
  <c r="E394" i="2" s="1"/>
  <c r="B395" i="2"/>
  <c r="E395" i="2" s="1"/>
  <c r="B396" i="2"/>
  <c r="E396" i="2" s="1"/>
  <c r="B397" i="2"/>
  <c r="E397" i="2" s="1"/>
  <c r="B398" i="2"/>
  <c r="E398" i="2" s="1"/>
  <c r="B399" i="2"/>
  <c r="E399" i="2" s="1"/>
  <c r="B400" i="2"/>
  <c r="E400" i="2" s="1"/>
  <c r="B401" i="2"/>
  <c r="E401" i="2" s="1"/>
  <c r="B402" i="2"/>
  <c r="E402" i="2" s="1"/>
  <c r="B403" i="2"/>
  <c r="E403" i="2" s="1"/>
  <c r="B404" i="2"/>
  <c r="E404" i="2" s="1"/>
  <c r="B405" i="2"/>
  <c r="E405" i="2" s="1"/>
  <c r="B406" i="2"/>
  <c r="E406" i="2" s="1"/>
  <c r="B407" i="2"/>
  <c r="E407" i="2" s="1"/>
  <c r="B408" i="2"/>
  <c r="E408" i="2" s="1"/>
  <c r="B409" i="2"/>
  <c r="E409" i="2" s="1"/>
  <c r="B410" i="2"/>
  <c r="E410" i="2" s="1"/>
  <c r="B411" i="2"/>
  <c r="E411" i="2" s="1"/>
  <c r="B412" i="2"/>
  <c r="E412" i="2" s="1"/>
  <c r="B413" i="2"/>
  <c r="E413" i="2" s="1"/>
  <c r="B414" i="2"/>
  <c r="E414" i="2" s="1"/>
  <c r="B415" i="2"/>
  <c r="E415" i="2" s="1"/>
  <c r="B416" i="2"/>
  <c r="E416" i="2" s="1"/>
  <c r="B417" i="2"/>
  <c r="E417" i="2" s="1"/>
  <c r="B418" i="2"/>
  <c r="E418" i="2" s="1"/>
  <c r="B419" i="2"/>
  <c r="E419" i="2" s="1"/>
  <c r="B420" i="2"/>
  <c r="E420" i="2" s="1"/>
  <c r="B421" i="2"/>
  <c r="E421" i="2" s="1"/>
  <c r="B422" i="2"/>
  <c r="E422" i="2" s="1"/>
  <c r="B423" i="2"/>
  <c r="E423" i="2" s="1"/>
  <c r="B424" i="2"/>
  <c r="E424" i="2" s="1"/>
  <c r="B425" i="2"/>
  <c r="E425" i="2" s="1"/>
  <c r="B426" i="2"/>
  <c r="E426" i="2" s="1"/>
  <c r="B427" i="2"/>
  <c r="E427" i="2" s="1"/>
  <c r="B428" i="2"/>
  <c r="E428" i="2" s="1"/>
  <c r="B429" i="2"/>
  <c r="E429" i="2" s="1"/>
  <c r="B430" i="2"/>
  <c r="E430" i="2" s="1"/>
  <c r="B431" i="2"/>
  <c r="E431" i="2" s="1"/>
  <c r="B432" i="2"/>
  <c r="E432" i="2" s="1"/>
  <c r="B433" i="2"/>
  <c r="E433" i="2" s="1"/>
  <c r="B434" i="2"/>
  <c r="E434" i="2" s="1"/>
  <c r="B435" i="2"/>
  <c r="E435" i="2" s="1"/>
  <c r="B436" i="2"/>
  <c r="E436" i="2" s="1"/>
  <c r="B437" i="2"/>
  <c r="E437" i="2" s="1"/>
  <c r="B438" i="2"/>
  <c r="E438" i="2" s="1"/>
  <c r="B439" i="2"/>
  <c r="E439" i="2" s="1"/>
  <c r="B440" i="2"/>
  <c r="E440" i="2" s="1"/>
  <c r="B441" i="2"/>
  <c r="E441" i="2" s="1"/>
  <c r="B442" i="2"/>
  <c r="E442" i="2" s="1"/>
  <c r="B443" i="2"/>
  <c r="E443" i="2" s="1"/>
  <c r="B444" i="2"/>
  <c r="E444" i="2" s="1"/>
  <c r="B445" i="2"/>
  <c r="E445" i="2" s="1"/>
  <c r="B446" i="2"/>
  <c r="E446" i="2" s="1"/>
  <c r="B447" i="2"/>
  <c r="E447" i="2" s="1"/>
  <c r="B448" i="2"/>
  <c r="E448" i="2" s="1"/>
  <c r="B449" i="2"/>
  <c r="E449" i="2" s="1"/>
  <c r="B450" i="2"/>
  <c r="E450" i="2" s="1"/>
  <c r="B451" i="2"/>
  <c r="E451" i="2" s="1"/>
  <c r="B452" i="2"/>
  <c r="E452" i="2" s="1"/>
  <c r="B453" i="2"/>
  <c r="E453" i="2" s="1"/>
  <c r="B454" i="2"/>
  <c r="E454" i="2" s="1"/>
  <c r="B455" i="2"/>
  <c r="E455" i="2" s="1"/>
  <c r="B456" i="2"/>
  <c r="E456" i="2" s="1"/>
  <c r="B457" i="2"/>
  <c r="E457" i="2" s="1"/>
  <c r="B458" i="2"/>
  <c r="E458" i="2" s="1"/>
  <c r="B459" i="2"/>
  <c r="E459" i="2" s="1"/>
  <c r="B460" i="2"/>
  <c r="E460" i="2" s="1"/>
  <c r="B461" i="2"/>
  <c r="E461" i="2" s="1"/>
  <c r="B462" i="2"/>
  <c r="E462" i="2" s="1"/>
  <c r="B463" i="2"/>
  <c r="E463" i="2" s="1"/>
  <c r="B464" i="2"/>
  <c r="E464" i="2" s="1"/>
  <c r="B465" i="2"/>
  <c r="E465" i="2" s="1"/>
  <c r="B466" i="2"/>
  <c r="E466" i="2" s="1"/>
  <c r="B467" i="2"/>
  <c r="E467" i="2" s="1"/>
  <c r="B468" i="2"/>
  <c r="E468" i="2" s="1"/>
  <c r="B469" i="2"/>
  <c r="E469" i="2" s="1"/>
  <c r="B470" i="2"/>
  <c r="E470" i="2" s="1"/>
  <c r="B471" i="2"/>
  <c r="E471" i="2" s="1"/>
  <c r="B472" i="2"/>
  <c r="E472" i="2" s="1"/>
  <c r="B473" i="2"/>
  <c r="E473" i="2" s="1"/>
  <c r="B474" i="2"/>
  <c r="E474" i="2" s="1"/>
  <c r="B475" i="2"/>
  <c r="E475" i="2" s="1"/>
  <c r="B476" i="2"/>
  <c r="E476" i="2" s="1"/>
  <c r="B477" i="2"/>
  <c r="E477" i="2" s="1"/>
  <c r="B478" i="2"/>
  <c r="E478" i="2" s="1"/>
  <c r="B479" i="2"/>
  <c r="E479" i="2" s="1"/>
  <c r="B480" i="2"/>
  <c r="E480" i="2" s="1"/>
  <c r="B481" i="2"/>
  <c r="E481" i="2" s="1"/>
  <c r="B482" i="2"/>
  <c r="E482" i="2" s="1"/>
  <c r="B483" i="2"/>
  <c r="E483" i="2" s="1"/>
  <c r="B484" i="2"/>
  <c r="E484" i="2" s="1"/>
  <c r="B485" i="2"/>
  <c r="E485" i="2" s="1"/>
  <c r="B486" i="2"/>
  <c r="E486" i="2" s="1"/>
  <c r="B487" i="2"/>
  <c r="E487" i="2" s="1"/>
  <c r="B488" i="2"/>
  <c r="E488" i="2" s="1"/>
  <c r="B489" i="2"/>
  <c r="E489" i="2" s="1"/>
  <c r="B490" i="2"/>
  <c r="E490" i="2" s="1"/>
  <c r="B491" i="2"/>
  <c r="E491" i="2" s="1"/>
  <c r="B492" i="2"/>
  <c r="E492" i="2" s="1"/>
  <c r="B493" i="2"/>
  <c r="E493" i="2" s="1"/>
  <c r="B494" i="2"/>
  <c r="E494" i="2" s="1"/>
  <c r="B495" i="2"/>
  <c r="E495" i="2" s="1"/>
  <c r="B496" i="2"/>
  <c r="E496" i="2" s="1"/>
  <c r="B497" i="2"/>
  <c r="E497" i="2" s="1"/>
  <c r="B498" i="2"/>
  <c r="E498" i="2" s="1"/>
  <c r="B499" i="2"/>
  <c r="E499" i="2" s="1"/>
  <c r="B500" i="2"/>
  <c r="E500" i="2" s="1"/>
  <c r="B501" i="2"/>
  <c r="E501" i="2" s="1"/>
  <c r="B502" i="2"/>
  <c r="E502" i="2" s="1"/>
  <c r="B503" i="2"/>
  <c r="E503" i="2" s="1"/>
  <c r="B504" i="2"/>
  <c r="E504" i="2" s="1"/>
  <c r="B505" i="2"/>
  <c r="E505" i="2" s="1"/>
  <c r="B506" i="2"/>
  <c r="E506" i="2" s="1"/>
  <c r="B507" i="2"/>
  <c r="E507" i="2" s="1"/>
  <c r="B508" i="2"/>
  <c r="E508" i="2" s="1"/>
  <c r="B509" i="2"/>
  <c r="E509" i="2" s="1"/>
  <c r="B510" i="2"/>
  <c r="E510" i="2" s="1"/>
  <c r="B511" i="2"/>
  <c r="E511" i="2" s="1"/>
  <c r="B512" i="2"/>
  <c r="E512" i="2" s="1"/>
  <c r="B513" i="2"/>
  <c r="E513" i="2" s="1"/>
  <c r="B514" i="2"/>
  <c r="E514" i="2" s="1"/>
  <c r="B515" i="2"/>
  <c r="E515" i="2" s="1"/>
  <c r="B516" i="2"/>
  <c r="E516" i="2" s="1"/>
  <c r="B517" i="2"/>
  <c r="E517" i="2" s="1"/>
  <c r="B518" i="2"/>
  <c r="E518" i="2" s="1"/>
  <c r="B519" i="2"/>
  <c r="E519" i="2" s="1"/>
  <c r="B520" i="2"/>
  <c r="E520" i="2" s="1"/>
  <c r="B521" i="2"/>
  <c r="E521" i="2" s="1"/>
  <c r="B522" i="2"/>
  <c r="E522" i="2" s="1"/>
  <c r="B523" i="2"/>
  <c r="E523" i="2" s="1"/>
  <c r="B524" i="2"/>
  <c r="E524" i="2" s="1"/>
  <c r="B525" i="2"/>
  <c r="E525" i="2" s="1"/>
  <c r="B526" i="2"/>
  <c r="E526" i="2" s="1"/>
  <c r="B527" i="2"/>
  <c r="E527" i="2" s="1"/>
  <c r="B528" i="2"/>
  <c r="E528" i="2" s="1"/>
  <c r="B529" i="2"/>
  <c r="E529" i="2" s="1"/>
  <c r="B530" i="2"/>
  <c r="E530" i="2" s="1"/>
  <c r="B531" i="2"/>
  <c r="E531" i="2" s="1"/>
  <c r="B532" i="2"/>
  <c r="E532" i="2" s="1"/>
  <c r="B533" i="2"/>
  <c r="E533" i="2" s="1"/>
  <c r="B534" i="2"/>
  <c r="E534" i="2" s="1"/>
  <c r="B535" i="2"/>
  <c r="E535" i="2" s="1"/>
  <c r="B536" i="2"/>
  <c r="E536" i="2" s="1"/>
  <c r="B537" i="2"/>
  <c r="E537" i="2" s="1"/>
  <c r="B538" i="2"/>
  <c r="E538" i="2" s="1"/>
  <c r="B539" i="2"/>
  <c r="E539" i="2" s="1"/>
  <c r="B540" i="2"/>
  <c r="E540" i="2" s="1"/>
  <c r="B541" i="2"/>
  <c r="E541" i="2" s="1"/>
  <c r="B542" i="2"/>
  <c r="E542" i="2" s="1"/>
  <c r="B543" i="2"/>
  <c r="E543" i="2" s="1"/>
  <c r="B544" i="2"/>
  <c r="E544" i="2" s="1"/>
  <c r="B545" i="2"/>
  <c r="E545" i="2" s="1"/>
  <c r="B546" i="2"/>
  <c r="E546" i="2" s="1"/>
  <c r="B547" i="2"/>
  <c r="E547" i="2" s="1"/>
  <c r="B548" i="2"/>
  <c r="E548" i="2" s="1"/>
  <c r="B549" i="2"/>
  <c r="E549" i="2" s="1"/>
  <c r="B550" i="2"/>
  <c r="E550" i="2" s="1"/>
  <c r="B551" i="2"/>
  <c r="E551" i="2" s="1"/>
  <c r="B552" i="2"/>
  <c r="E552" i="2" s="1"/>
  <c r="B553" i="2"/>
  <c r="E553" i="2" s="1"/>
  <c r="B554" i="2"/>
  <c r="E554" i="2" s="1"/>
  <c r="B555" i="2"/>
  <c r="E555" i="2" s="1"/>
  <c r="B556" i="2"/>
  <c r="E556" i="2" s="1"/>
  <c r="B557" i="2"/>
  <c r="E557" i="2" s="1"/>
  <c r="B558" i="2"/>
  <c r="E558" i="2" s="1"/>
  <c r="B559" i="2"/>
  <c r="E559" i="2" s="1"/>
  <c r="B560" i="2"/>
  <c r="E560" i="2" s="1"/>
  <c r="B561" i="2"/>
  <c r="E561" i="2" s="1"/>
  <c r="B562" i="2"/>
  <c r="E562" i="2" s="1"/>
  <c r="B563" i="2"/>
  <c r="E563" i="2" s="1"/>
  <c r="B564" i="2"/>
  <c r="E564" i="2" s="1"/>
  <c r="B565" i="2"/>
  <c r="E565" i="2" s="1"/>
  <c r="B566" i="2"/>
  <c r="E566" i="2" s="1"/>
  <c r="B567" i="2"/>
  <c r="E567" i="2" s="1"/>
  <c r="B568" i="2"/>
  <c r="E568" i="2" s="1"/>
  <c r="B569" i="2"/>
  <c r="E569" i="2" s="1"/>
  <c r="B570" i="2"/>
  <c r="E570" i="2" s="1"/>
  <c r="B571" i="2"/>
  <c r="E571" i="2" s="1"/>
  <c r="B572" i="2"/>
  <c r="E572" i="2" s="1"/>
  <c r="B573" i="2"/>
  <c r="E573" i="2" s="1"/>
  <c r="B574" i="2"/>
  <c r="E574" i="2" s="1"/>
  <c r="B575" i="2"/>
  <c r="E575" i="2" s="1"/>
  <c r="B576" i="2"/>
  <c r="E576" i="2" s="1"/>
  <c r="B577" i="2"/>
  <c r="E577" i="2" s="1"/>
  <c r="B578" i="2"/>
  <c r="E578" i="2" s="1"/>
  <c r="B579" i="2"/>
  <c r="E579" i="2" s="1"/>
  <c r="B580" i="2"/>
  <c r="E580" i="2" s="1"/>
  <c r="B581" i="2"/>
  <c r="E581" i="2" s="1"/>
  <c r="B582" i="2"/>
  <c r="E582" i="2" s="1"/>
  <c r="B583" i="2"/>
  <c r="E583" i="2" s="1"/>
  <c r="B584" i="2"/>
  <c r="E584" i="2" s="1"/>
  <c r="B585" i="2"/>
  <c r="E585" i="2" s="1"/>
  <c r="B586" i="2"/>
  <c r="E586" i="2" s="1"/>
  <c r="B587" i="2"/>
  <c r="E587" i="2" s="1"/>
  <c r="B588" i="2"/>
  <c r="E588" i="2" s="1"/>
  <c r="B589" i="2"/>
  <c r="E589" i="2" s="1"/>
  <c r="B590" i="2"/>
  <c r="E590" i="2" s="1"/>
  <c r="B591" i="2"/>
  <c r="E591" i="2" s="1"/>
  <c r="B592" i="2"/>
  <c r="E592" i="2" s="1"/>
  <c r="B593" i="2"/>
  <c r="E593" i="2" s="1"/>
  <c r="B594" i="2"/>
  <c r="E594" i="2" s="1"/>
  <c r="B595" i="2"/>
  <c r="E595" i="2" s="1"/>
  <c r="B596" i="2"/>
  <c r="E596" i="2" s="1"/>
  <c r="B597" i="2"/>
  <c r="E597" i="2" s="1"/>
  <c r="B598" i="2"/>
  <c r="E598" i="2" s="1"/>
  <c r="B599" i="2"/>
  <c r="E599" i="2" s="1"/>
  <c r="B600" i="2"/>
  <c r="E600" i="2" s="1"/>
  <c r="B601" i="2"/>
  <c r="E601" i="2" s="1"/>
  <c r="B602" i="2"/>
  <c r="E602" i="2" s="1"/>
  <c r="B603" i="2"/>
  <c r="E603" i="2" s="1"/>
  <c r="B604" i="2"/>
  <c r="E604" i="2" s="1"/>
  <c r="B605" i="2"/>
  <c r="E605" i="2" s="1"/>
  <c r="B606" i="2"/>
  <c r="E606" i="2" s="1"/>
  <c r="B607" i="2"/>
  <c r="E607" i="2" s="1"/>
  <c r="B608" i="2"/>
  <c r="E608" i="2" s="1"/>
  <c r="B609" i="2"/>
  <c r="E609" i="2" s="1"/>
  <c r="B610" i="2"/>
  <c r="E610" i="2" s="1"/>
  <c r="B611" i="2"/>
  <c r="E611" i="2" s="1"/>
  <c r="B612" i="2"/>
  <c r="E612" i="2" s="1"/>
  <c r="B613" i="2"/>
  <c r="E613" i="2" s="1"/>
  <c r="B614" i="2"/>
  <c r="E614" i="2" s="1"/>
  <c r="B615" i="2"/>
  <c r="E615" i="2" s="1"/>
  <c r="B616" i="2"/>
  <c r="E616" i="2" s="1"/>
  <c r="B617" i="2"/>
  <c r="E617" i="2" s="1"/>
  <c r="B618" i="2"/>
  <c r="E618" i="2" s="1"/>
  <c r="B619" i="2"/>
  <c r="E619" i="2" s="1"/>
  <c r="B620" i="2"/>
  <c r="E620" i="2" s="1"/>
  <c r="B621" i="2"/>
  <c r="E621" i="2" s="1"/>
  <c r="B622" i="2"/>
  <c r="E622" i="2" s="1"/>
  <c r="B623" i="2"/>
  <c r="E623" i="2" s="1"/>
  <c r="B624" i="2"/>
  <c r="E624" i="2" s="1"/>
  <c r="B625" i="2"/>
  <c r="E625" i="2" s="1"/>
  <c r="B626" i="2"/>
  <c r="E626" i="2" s="1"/>
  <c r="B627" i="2"/>
  <c r="E627" i="2" s="1"/>
  <c r="B628" i="2"/>
  <c r="E628" i="2" s="1"/>
  <c r="B629" i="2"/>
  <c r="E629" i="2" s="1"/>
  <c r="B630" i="2"/>
  <c r="E630" i="2" s="1"/>
  <c r="B631" i="2"/>
  <c r="E631" i="2" s="1"/>
  <c r="B632" i="2"/>
  <c r="E632" i="2" s="1"/>
  <c r="B633" i="2"/>
  <c r="E633" i="2" s="1"/>
  <c r="B634" i="2"/>
  <c r="E634" i="2" s="1"/>
  <c r="B635" i="2"/>
  <c r="E635" i="2" s="1"/>
  <c r="B636" i="2"/>
  <c r="E636" i="2" s="1"/>
  <c r="B637" i="2"/>
  <c r="E637" i="2" s="1"/>
  <c r="B638" i="2"/>
  <c r="E638" i="2" s="1"/>
  <c r="B639" i="2"/>
  <c r="E639" i="2" s="1"/>
  <c r="B640" i="2"/>
  <c r="E640" i="2" s="1"/>
  <c r="B641" i="2"/>
  <c r="E641" i="2" s="1"/>
  <c r="B642" i="2"/>
  <c r="E642" i="2" s="1"/>
  <c r="B643" i="2"/>
  <c r="E643" i="2" s="1"/>
  <c r="B644" i="2"/>
  <c r="E644" i="2" s="1"/>
  <c r="B645" i="2"/>
  <c r="E645" i="2" s="1"/>
  <c r="B646" i="2"/>
  <c r="E646" i="2" s="1"/>
  <c r="B647" i="2"/>
  <c r="E647" i="2" s="1"/>
  <c r="B648" i="2"/>
  <c r="E648" i="2" s="1"/>
  <c r="B649" i="2"/>
  <c r="E649" i="2" s="1"/>
  <c r="B650" i="2"/>
  <c r="E650" i="2" s="1"/>
  <c r="B651" i="2"/>
  <c r="E651" i="2" s="1"/>
  <c r="B652" i="2"/>
  <c r="E652" i="2" s="1"/>
  <c r="B653" i="2"/>
  <c r="E653" i="2" s="1"/>
  <c r="B654" i="2"/>
  <c r="E654" i="2" s="1"/>
  <c r="B655" i="2"/>
  <c r="E655" i="2" s="1"/>
  <c r="B656" i="2"/>
  <c r="E656" i="2" s="1"/>
  <c r="B657" i="2"/>
  <c r="E657" i="2" s="1"/>
  <c r="B658" i="2"/>
  <c r="E658" i="2" s="1"/>
  <c r="B659" i="2"/>
  <c r="E659" i="2" s="1"/>
  <c r="B660" i="2"/>
  <c r="E660" i="2" s="1"/>
  <c r="B661" i="2"/>
  <c r="E661" i="2" s="1"/>
  <c r="B662" i="2"/>
  <c r="E662" i="2" s="1"/>
  <c r="B663" i="2"/>
  <c r="E663" i="2" s="1"/>
  <c r="B664" i="2"/>
  <c r="E664" i="2" s="1"/>
  <c r="B665" i="2"/>
  <c r="E665" i="2" s="1"/>
  <c r="B666" i="2"/>
  <c r="E666" i="2" s="1"/>
  <c r="B667" i="2"/>
  <c r="E667" i="2" s="1"/>
  <c r="B668" i="2"/>
  <c r="E668" i="2" s="1"/>
  <c r="B669" i="2"/>
  <c r="E669" i="2" s="1"/>
  <c r="B670" i="2"/>
  <c r="E670" i="2" s="1"/>
  <c r="B671" i="2"/>
  <c r="E671" i="2" s="1"/>
  <c r="B672" i="2"/>
  <c r="E672" i="2" s="1"/>
  <c r="B673" i="2"/>
  <c r="E673" i="2" s="1"/>
  <c r="B674" i="2"/>
  <c r="E674" i="2" s="1"/>
  <c r="B675" i="2"/>
  <c r="E675" i="2" s="1"/>
  <c r="B676" i="2"/>
  <c r="E676" i="2" s="1"/>
  <c r="B677" i="2"/>
  <c r="E677" i="2" s="1"/>
  <c r="B678" i="2"/>
  <c r="E678" i="2" s="1"/>
  <c r="B679" i="2"/>
  <c r="E679" i="2" s="1"/>
  <c r="B680" i="2"/>
  <c r="E680" i="2" s="1"/>
  <c r="B681" i="2"/>
  <c r="E681" i="2" s="1"/>
  <c r="B682" i="2"/>
  <c r="E682" i="2" s="1"/>
  <c r="B683" i="2"/>
  <c r="E683" i="2" s="1"/>
  <c r="B684" i="2"/>
  <c r="E684" i="2" s="1"/>
  <c r="B685" i="2"/>
  <c r="E685" i="2" s="1"/>
  <c r="B686" i="2"/>
  <c r="E686" i="2" s="1"/>
  <c r="B687" i="2"/>
  <c r="E687" i="2" s="1"/>
  <c r="B688" i="2"/>
  <c r="E688" i="2" s="1"/>
  <c r="B689" i="2"/>
  <c r="E689" i="2" s="1"/>
  <c r="B690" i="2"/>
  <c r="E690" i="2" s="1"/>
  <c r="B691" i="2"/>
  <c r="E691" i="2" s="1"/>
  <c r="B692" i="2"/>
  <c r="E692" i="2" s="1"/>
  <c r="B693" i="2"/>
  <c r="E693" i="2" s="1"/>
  <c r="B694" i="2"/>
  <c r="E694" i="2" s="1"/>
  <c r="B695" i="2"/>
  <c r="E695" i="2" s="1"/>
  <c r="B696" i="2"/>
  <c r="E696" i="2" s="1"/>
  <c r="B697" i="2"/>
  <c r="E697" i="2" s="1"/>
  <c r="B698" i="2"/>
  <c r="E698" i="2" s="1"/>
  <c r="B699" i="2"/>
  <c r="E699" i="2" s="1"/>
  <c r="B700" i="2"/>
  <c r="E700" i="2" s="1"/>
  <c r="B701" i="2"/>
  <c r="E701" i="2" s="1"/>
  <c r="B702" i="2"/>
  <c r="E702" i="2" s="1"/>
  <c r="B703" i="2"/>
  <c r="E703" i="2" s="1"/>
  <c r="B704" i="2"/>
  <c r="E704" i="2" s="1"/>
  <c r="B705" i="2"/>
  <c r="E705" i="2" s="1"/>
  <c r="B706" i="2"/>
  <c r="E706" i="2" s="1"/>
  <c r="B707" i="2"/>
  <c r="E707" i="2" s="1"/>
  <c r="B708" i="2"/>
  <c r="E708" i="2" s="1"/>
  <c r="B709" i="2"/>
  <c r="E709" i="2" s="1"/>
  <c r="B710" i="2"/>
  <c r="E710" i="2" s="1"/>
  <c r="B711" i="2"/>
  <c r="E711" i="2" s="1"/>
  <c r="B712" i="2"/>
  <c r="E712" i="2" s="1"/>
  <c r="B713" i="2"/>
  <c r="E713" i="2" s="1"/>
  <c r="B714" i="2"/>
  <c r="E714" i="2" s="1"/>
  <c r="B715" i="2"/>
  <c r="E715" i="2" s="1"/>
  <c r="B716" i="2"/>
  <c r="E716" i="2" s="1"/>
  <c r="B717" i="2"/>
  <c r="E717" i="2" s="1"/>
  <c r="B718" i="2"/>
  <c r="E718" i="2" s="1"/>
  <c r="B719" i="2"/>
  <c r="E719" i="2" s="1"/>
  <c r="B720" i="2"/>
  <c r="E720" i="2" s="1"/>
  <c r="B721" i="2"/>
  <c r="E721" i="2" s="1"/>
  <c r="B722" i="2"/>
  <c r="E722" i="2" s="1"/>
  <c r="B723" i="2"/>
  <c r="E723" i="2" s="1"/>
  <c r="B724" i="2"/>
  <c r="E724" i="2" s="1"/>
  <c r="B725" i="2"/>
  <c r="E725" i="2" s="1"/>
  <c r="B726" i="2"/>
  <c r="E726" i="2" s="1"/>
  <c r="B727" i="2"/>
  <c r="E727" i="2" s="1"/>
  <c r="B728" i="2"/>
  <c r="E728" i="2" s="1"/>
  <c r="B729" i="2"/>
  <c r="E729" i="2" s="1"/>
  <c r="B2" i="2"/>
  <c r="E2" i="2" s="1"/>
</calcChain>
</file>

<file path=xl/sharedStrings.xml><?xml version="1.0" encoding="utf-8"?>
<sst xmlns="http://schemas.openxmlformats.org/spreadsheetml/2006/main" count="1069" uniqueCount="51">
  <si>
    <t>AT-Austria</t>
  </si>
  <si>
    <t>BE-Belgium</t>
  </si>
  <si>
    <t>BG-Bulgaria</t>
  </si>
  <si>
    <t>CY-Cyprus</t>
  </si>
  <si>
    <t>CZ-Czechia</t>
  </si>
  <si>
    <t>DE-Germany (until 1990 former territory of the FRG)</t>
  </si>
  <si>
    <t>DK-Denmark</t>
  </si>
  <si>
    <t>EE-Estonia</t>
  </si>
  <si>
    <t>EL-Greece</t>
  </si>
  <si>
    <t>FI-Finland</t>
  </si>
  <si>
    <t>FR-France</t>
  </si>
  <si>
    <t>HR-Croatia</t>
  </si>
  <si>
    <t>HU-Hungary</t>
  </si>
  <si>
    <t>IE-Ireland</t>
  </si>
  <si>
    <t>IT-Italy</t>
  </si>
  <si>
    <t>LT-Lithuania</t>
  </si>
  <si>
    <t>LU-Luxembourg</t>
  </si>
  <si>
    <t>LV-Latvia</t>
  </si>
  <si>
    <t>MT-Malta</t>
  </si>
  <si>
    <t>NL-Netherlands</t>
  </si>
  <si>
    <t>PL-Poland</t>
  </si>
  <si>
    <t>PT-Portugal</t>
  </si>
  <si>
    <t>RO-Romania</t>
  </si>
  <si>
    <t>SE-Sweden</t>
  </si>
  <si>
    <t>SI-Slovenia</t>
  </si>
  <si>
    <t>SK-Slovakia</t>
  </si>
  <si>
    <t>UK-United Kingdom</t>
  </si>
  <si>
    <t>year</t>
  </si>
  <si>
    <t>Population</t>
  </si>
  <si>
    <t>NRG_consumption</t>
  </si>
  <si>
    <t>Country</t>
  </si>
  <si>
    <t>ES-Spain</t>
  </si>
  <si>
    <t>Real_GDP_PC</t>
  </si>
  <si>
    <t>ETH</t>
  </si>
  <si>
    <t>1995-2020</t>
  </si>
  <si>
    <t>people</t>
  </si>
  <si>
    <t>Euro per capita</t>
  </si>
  <si>
    <t>Population(people)</t>
  </si>
  <si>
    <t>Real_GDP(million)</t>
  </si>
  <si>
    <t>Population (million)</t>
  </si>
  <si>
    <t>Real_GDP_PC(Euro_per_capita)</t>
  </si>
  <si>
    <t>CO2_PC</t>
  </si>
  <si>
    <t>RNRG_consumption</t>
  </si>
  <si>
    <t>NRG_conventional</t>
  </si>
  <si>
    <t>Crop</t>
  </si>
  <si>
    <t>Animal</t>
  </si>
  <si>
    <t>TJ -TERA JOUL</t>
  </si>
  <si>
    <t>GDP_K</t>
  </si>
  <si>
    <t>%</t>
  </si>
  <si>
    <r>
      <t>Euro</t>
    </r>
    <r>
      <rPr>
        <sz val="11"/>
        <color theme="1"/>
        <rFont val="Calibri"/>
        <family val="2"/>
      </rPr>
      <t>×1000</t>
    </r>
  </si>
  <si>
    <t>metric tons per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</si>
</sst>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  <charset val="161"/>
    </font>
    <font>
      <sz val="10"/>
      <color rgb="FF202124"/>
      <name val="Arial"/>
      <family val="2"/>
      <charset val="161"/>
    </font>
    <font>
      <sz val="8"/>
      <name val="Arial"/>
      <family val="2"/>
      <charset val="161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Protection="1">
      <protection locked="0"/>
    </xf>
    <xf numFmtId="0" fontId="0" fillId="4" borderId="0" xfId="0" applyFill="1"/>
    <xf numFmtId="0" fontId="1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3" fillId="6" borderId="0" xfId="0" applyFont="1" applyFill="1"/>
    <xf numFmtId="0" fontId="0" fillId="0" borderId="0" xfId="0" applyAlignment="1">
      <alignment vertical="center"/>
    </xf>
    <xf numFmtId="3" fontId="5" fillId="0" borderId="0" xfId="0" applyNumberFormat="1" applyFont="1" applyFill="1" applyAlignment="1">
      <alignment horizontal="right" vertical="center" shrinkToFit="1"/>
    </xf>
    <xf numFmtId="4" fontId="7" fillId="0" borderId="0" xfId="0" applyNumberFormat="1" applyFont="1" applyAlignment="1" applyProtection="1">
      <alignment horizontal="right" vertical="top" wrapText="1"/>
      <protection locked="0"/>
    </xf>
    <xf numFmtId="0" fontId="0" fillId="7" borderId="0" xfId="0" applyFill="1"/>
    <xf numFmtId="0" fontId="2" fillId="8" borderId="0" xfId="0" applyFont="1" applyFill="1" applyAlignment="1">
      <alignment horizontal="center"/>
    </xf>
    <xf numFmtId="164" fontId="2" fillId="8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2">
    <cellStyle name="Normal" xfId="0" builtinId="0"/>
    <cellStyle name="Normal 2" xfId="1" xr:uid="{9F32AF0E-395E-4011-B700-DE15F50F50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25DF-CDE4-43F2-A069-A0794EDBFDE3}">
  <dimension ref="A1:H314"/>
  <sheetViews>
    <sheetView workbookViewId="0">
      <selection activeCell="G1" sqref="G1:G1048576"/>
    </sheetView>
  </sheetViews>
  <sheetFormatPr defaultRowHeight="14.4" x14ac:dyDescent="0.3"/>
  <cols>
    <col min="1" max="1" width="24.5546875" customWidth="1"/>
    <col min="2" max="2" width="15" customWidth="1"/>
    <col min="3" max="3" width="14" customWidth="1"/>
    <col min="4" max="4" width="16.77734375" style="16" bestFit="1" customWidth="1"/>
    <col min="7" max="7" width="9.77734375" customWidth="1"/>
    <col min="8" max="8" width="16.88671875" bestFit="1" customWidth="1"/>
  </cols>
  <sheetData>
    <row r="1" spans="1:8" x14ac:dyDescent="0.3">
      <c r="A1" s="6" t="s">
        <v>30</v>
      </c>
      <c r="B1" s="19" t="s">
        <v>41</v>
      </c>
      <c r="C1" s="19" t="s">
        <v>32</v>
      </c>
      <c r="D1" s="20" t="s">
        <v>28</v>
      </c>
      <c r="E1" s="19" t="s">
        <v>44</v>
      </c>
      <c r="F1" s="19" t="s">
        <v>45</v>
      </c>
      <c r="G1" s="11" t="s">
        <v>47</v>
      </c>
      <c r="H1" s="19" t="s">
        <v>29</v>
      </c>
    </row>
    <row r="2" spans="1:8" x14ac:dyDescent="0.3">
      <c r="A2" s="13" t="s">
        <v>0</v>
      </c>
      <c r="B2">
        <v>8.0596974839863407</v>
      </c>
      <c r="C2">
        <v>28755.662371969469</v>
      </c>
      <c r="D2" s="16">
        <v>7968041</v>
      </c>
      <c r="E2">
        <v>100.57</v>
      </c>
      <c r="F2">
        <v>89.2</v>
      </c>
      <c r="G2" s="8">
        <f t="shared" ref="G2:G10" si="0">C2*1000</f>
        <v>28755662.371969469</v>
      </c>
      <c r="H2">
        <v>886383.53427599999</v>
      </c>
    </row>
    <row r="3" spans="1:8" x14ac:dyDescent="0.3">
      <c r="A3" s="1" t="s">
        <v>1</v>
      </c>
      <c r="B3">
        <v>11.45635921736487</v>
      </c>
      <c r="C3">
        <v>27486.096358304902</v>
      </c>
      <c r="D3" s="16">
        <v>10181245</v>
      </c>
      <c r="G3" s="8">
        <f t="shared" si="0"/>
        <v>27486096.358304903</v>
      </c>
      <c r="H3">
        <v>1415348.4517560001</v>
      </c>
    </row>
    <row r="4" spans="1:8" x14ac:dyDescent="0.3">
      <c r="A4" s="1" t="s">
        <v>2</v>
      </c>
      <c r="B4">
        <v>6.4207848155236453</v>
      </c>
      <c r="C4">
        <v>5788.4896084252441</v>
      </c>
      <c r="D4" s="16">
        <v>8312068</v>
      </c>
      <c r="E4">
        <v>85.27</v>
      </c>
      <c r="F4">
        <v>173.51</v>
      </c>
      <c r="G4" s="8">
        <f t="shared" si="0"/>
        <v>5788489.6084252438</v>
      </c>
      <c r="H4">
        <v>421700.31565200002</v>
      </c>
    </row>
    <row r="5" spans="1:8" x14ac:dyDescent="0.3">
      <c r="A5" s="1" t="s">
        <v>3</v>
      </c>
      <c r="B5">
        <v>7.0130948507052366</v>
      </c>
      <c r="C5">
        <v>17641.67576077428</v>
      </c>
      <c r="D5" s="16">
        <v>670764</v>
      </c>
      <c r="E5">
        <v>159.38999999999999</v>
      </c>
      <c r="F5">
        <v>107.17</v>
      </c>
      <c r="G5" s="8">
        <f t="shared" si="0"/>
        <v>17641675.760774281</v>
      </c>
      <c r="H5">
        <v>50708.260728000001</v>
      </c>
    </row>
    <row r="6" spans="1:8" x14ac:dyDescent="0.3">
      <c r="A6" s="1" t="s">
        <v>4</v>
      </c>
      <c r="B6">
        <v>12.056784959520272</v>
      </c>
      <c r="C6">
        <v>269359.14600692672</v>
      </c>
      <c r="D6" s="16">
        <v>10304131</v>
      </c>
      <c r="E6">
        <v>90.67</v>
      </c>
      <c r="F6">
        <v>131.16</v>
      </c>
      <c r="G6" s="8">
        <f t="shared" si="0"/>
        <v>269359146.00692672</v>
      </c>
      <c r="H6">
        <v>1052952.692724</v>
      </c>
    </row>
    <row r="7" spans="1:8" ht="24" x14ac:dyDescent="0.3">
      <c r="A7" s="2" t="s">
        <v>5</v>
      </c>
      <c r="B7">
        <v>7.8564829913615277</v>
      </c>
      <c r="C7">
        <v>26834.514689727112</v>
      </c>
      <c r="D7" s="16">
        <v>82034771</v>
      </c>
      <c r="E7">
        <v>88.71</v>
      </c>
      <c r="F7">
        <v>88.49</v>
      </c>
      <c r="G7" s="8">
        <f t="shared" si="0"/>
        <v>26834514.689727113</v>
      </c>
      <c r="H7">
        <v>8991557.0680679996</v>
      </c>
    </row>
    <row r="8" spans="1:8" x14ac:dyDescent="0.3">
      <c r="A8" s="1" t="s">
        <v>6</v>
      </c>
      <c r="B8">
        <v>12.11067677613959</v>
      </c>
      <c r="C8">
        <v>290685.87325881916</v>
      </c>
      <c r="D8" s="16">
        <v>5284991</v>
      </c>
      <c r="E8">
        <v>95.08</v>
      </c>
      <c r="F8">
        <v>96.93</v>
      </c>
      <c r="G8" s="8">
        <f t="shared" si="0"/>
        <v>290685873.25881916</v>
      </c>
      <c r="H8">
        <v>602900.41417200002</v>
      </c>
    </row>
    <row r="9" spans="1:8" x14ac:dyDescent="0.3">
      <c r="A9" s="1" t="s">
        <v>7</v>
      </c>
      <c r="B9">
        <v>12.025422729692361</v>
      </c>
      <c r="C9">
        <v>6597.8139919501118</v>
      </c>
      <c r="D9" s="16">
        <v>1399535</v>
      </c>
      <c r="E9">
        <v>67.430000000000007</v>
      </c>
      <c r="F9">
        <v>89.8</v>
      </c>
      <c r="G9" s="8">
        <f t="shared" si="0"/>
        <v>6597813.9919501115</v>
      </c>
      <c r="H9">
        <v>120930.94504799999</v>
      </c>
    </row>
    <row r="10" spans="1:8" x14ac:dyDescent="0.3">
      <c r="A10" s="1" t="s">
        <v>8</v>
      </c>
      <c r="B10">
        <v>10.616230037382563</v>
      </c>
      <c r="C10">
        <v>15870.900507153046</v>
      </c>
      <c r="D10" s="16">
        <v>10661259</v>
      </c>
      <c r="E10">
        <v>99.2</v>
      </c>
      <c r="F10">
        <v>109.62</v>
      </c>
      <c r="G10" s="8">
        <f t="shared" si="0"/>
        <v>15870900.507153047</v>
      </c>
      <c r="H10">
        <v>690657.33315600001</v>
      </c>
    </row>
    <row r="11" spans="1:8" x14ac:dyDescent="0.3">
      <c r="A11" s="1" t="s">
        <v>31</v>
      </c>
      <c r="B11">
        <v>6.2063456008078814</v>
      </c>
      <c r="C11">
        <v>18922.191041761609</v>
      </c>
      <c r="D11" s="16">
        <v>40057389</v>
      </c>
      <c r="E11">
        <v>93.91</v>
      </c>
      <c r="F11">
        <v>77.17</v>
      </c>
      <c r="G11" s="8">
        <f t="shared" ref="G11:G74" si="1">C11*1000</f>
        <v>18922191.041761611</v>
      </c>
      <c r="H11">
        <v>2726574.5369520001</v>
      </c>
    </row>
    <row r="12" spans="1:8" x14ac:dyDescent="0.3">
      <c r="A12" s="1" t="s">
        <v>9</v>
      </c>
      <c r="B12">
        <v>11.794152925142539</v>
      </c>
      <c r="C12">
        <v>26386.587375059706</v>
      </c>
      <c r="D12" s="16">
        <v>5139835</v>
      </c>
      <c r="E12">
        <v>104.82</v>
      </c>
      <c r="F12">
        <v>96.54</v>
      </c>
      <c r="G12" s="8">
        <f t="shared" si="1"/>
        <v>26386587.375059705</v>
      </c>
      <c r="H12">
        <v>936726.53857199999</v>
      </c>
    </row>
    <row r="13" spans="1:8" x14ac:dyDescent="0.3">
      <c r="A13" s="1" t="s">
        <v>10</v>
      </c>
      <c r="B13">
        <v>5.9891762241143942</v>
      </c>
      <c r="C13">
        <v>26449.926410986613</v>
      </c>
      <c r="D13" s="16">
        <v>59830635</v>
      </c>
      <c r="E13">
        <v>100.21</v>
      </c>
      <c r="F13">
        <v>112.62</v>
      </c>
      <c r="G13" s="8">
        <f t="shared" si="1"/>
        <v>26449926.410986613</v>
      </c>
      <c r="H13">
        <v>5889252.9863879997</v>
      </c>
    </row>
    <row r="14" spans="1:8" x14ac:dyDescent="0.3">
      <c r="A14" s="1" t="s">
        <v>11</v>
      </c>
      <c r="B14">
        <v>3.7597135120354936</v>
      </c>
      <c r="C14">
        <v>54790.133163372237</v>
      </c>
      <c r="D14" s="16">
        <v>4534920</v>
      </c>
      <c r="E14">
        <v>87.66</v>
      </c>
      <c r="F14">
        <v>67.41</v>
      </c>
      <c r="G14" s="8">
        <f t="shared" si="1"/>
        <v>54790133.163372234</v>
      </c>
      <c r="H14">
        <v>243780.74240399999</v>
      </c>
    </row>
    <row r="15" spans="1:8" x14ac:dyDescent="0.3">
      <c r="A15" s="1" t="s">
        <v>12</v>
      </c>
      <c r="B15">
        <v>5.5381252158547225</v>
      </c>
      <c r="C15">
        <v>1933516.9843124028</v>
      </c>
      <c r="D15" s="16">
        <v>10290486</v>
      </c>
      <c r="E15">
        <v>91.36</v>
      </c>
      <c r="F15">
        <v>112.19</v>
      </c>
      <c r="G15" s="8">
        <f t="shared" si="1"/>
        <v>1933516984.3124027</v>
      </c>
      <c r="H15">
        <v>652233.68791199999</v>
      </c>
    </row>
    <row r="16" spans="1:8" x14ac:dyDescent="0.3">
      <c r="A16" s="1" t="s">
        <v>13</v>
      </c>
      <c r="B16">
        <v>9.83895414775197</v>
      </c>
      <c r="C16">
        <v>26193.191530177828</v>
      </c>
      <c r="D16" s="16">
        <v>3674171</v>
      </c>
      <c r="E16">
        <v>93.16</v>
      </c>
      <c r="F16">
        <v>89.89</v>
      </c>
      <c r="G16" s="8">
        <f t="shared" si="1"/>
        <v>26193191.530177828</v>
      </c>
      <c r="H16">
        <v>342094.80319200002</v>
      </c>
    </row>
    <row r="17" spans="1:8" x14ac:dyDescent="0.3">
      <c r="A17" s="1" t="s">
        <v>14</v>
      </c>
      <c r="B17">
        <v>7.3038720857722641</v>
      </c>
      <c r="C17">
        <v>25567.278042024405</v>
      </c>
      <c r="D17" s="16">
        <v>56890372</v>
      </c>
      <c r="E17">
        <v>109.57</v>
      </c>
      <c r="F17">
        <v>115.11</v>
      </c>
      <c r="G17" s="8">
        <f t="shared" si="1"/>
        <v>25567278.042024404</v>
      </c>
      <c r="H17">
        <v>4713544.0712879999</v>
      </c>
    </row>
    <row r="18" spans="1:8" x14ac:dyDescent="0.3">
      <c r="A18" s="1" t="s">
        <v>15</v>
      </c>
      <c r="B18">
        <v>3.8935570860641144</v>
      </c>
      <c r="C18">
        <v>4650.5766995396261</v>
      </c>
      <c r="D18" s="16">
        <v>3575137</v>
      </c>
      <c r="E18">
        <v>77.540000000000006</v>
      </c>
      <c r="F18">
        <v>112.1</v>
      </c>
      <c r="G18" s="8">
        <f t="shared" si="1"/>
        <v>4650576.699539626</v>
      </c>
      <c r="H18">
        <v>187864.144344</v>
      </c>
    </row>
    <row r="19" spans="1:8" x14ac:dyDescent="0.3">
      <c r="A19" s="1" t="s">
        <v>16</v>
      </c>
      <c r="B19">
        <v>19.71629514840863</v>
      </c>
      <c r="C19">
        <v>61228.368641313624</v>
      </c>
      <c r="D19" s="16">
        <v>419450</v>
      </c>
      <c r="G19" s="8">
        <f t="shared" si="1"/>
        <v>61228368.641313627</v>
      </c>
      <c r="H19">
        <v>120015.54309599999</v>
      </c>
    </row>
    <row r="20" spans="1:8" x14ac:dyDescent="0.3">
      <c r="A20" s="1" t="s">
        <v>17</v>
      </c>
      <c r="B20">
        <v>3.5061744430711128</v>
      </c>
      <c r="C20">
        <v>4458.925860720612</v>
      </c>
      <c r="D20" s="16">
        <v>2432851</v>
      </c>
      <c r="E20">
        <v>62.83</v>
      </c>
      <c r="F20">
        <v>94.74</v>
      </c>
      <c r="G20" s="8">
        <f t="shared" si="1"/>
        <v>4458925.8607206121</v>
      </c>
      <c r="H20">
        <v>154306.98421200001</v>
      </c>
    </row>
    <row r="21" spans="1:8" x14ac:dyDescent="0.3">
      <c r="A21" s="1" t="s">
        <v>18</v>
      </c>
      <c r="B21">
        <v>6.4526072974547466</v>
      </c>
      <c r="C21">
        <v>19410.31248819565</v>
      </c>
      <c r="D21" s="16">
        <v>382791</v>
      </c>
      <c r="E21">
        <v>89.89</v>
      </c>
      <c r="F21">
        <v>126.29</v>
      </c>
      <c r="G21" s="8">
        <f t="shared" si="1"/>
        <v>19410312.48819565</v>
      </c>
      <c r="H21">
        <v>17055.683423999999</v>
      </c>
    </row>
    <row r="22" spans="1:8" x14ac:dyDescent="0.3">
      <c r="A22" s="1" t="s">
        <v>19</v>
      </c>
      <c r="B22">
        <v>10.664514289923867</v>
      </c>
      <c r="C22">
        <v>31225.978967855277</v>
      </c>
      <c r="D22" s="16">
        <v>15610650</v>
      </c>
      <c r="E22">
        <v>108.85</v>
      </c>
      <c r="F22">
        <v>88.98</v>
      </c>
      <c r="G22" s="8">
        <f t="shared" si="1"/>
        <v>31225978.967855278</v>
      </c>
      <c r="H22">
        <v>2026941.6256919999</v>
      </c>
    </row>
    <row r="23" spans="1:8" x14ac:dyDescent="0.3">
      <c r="A23" s="1" t="s">
        <v>20</v>
      </c>
      <c r="B23">
        <v>8.9167666675463639</v>
      </c>
      <c r="C23">
        <v>22275.109708351381</v>
      </c>
      <c r="D23" s="16">
        <v>38649660</v>
      </c>
      <c r="E23">
        <v>100.86</v>
      </c>
      <c r="F23">
        <v>84.42</v>
      </c>
      <c r="G23" s="8">
        <f t="shared" si="1"/>
        <v>22275109.708351381</v>
      </c>
      <c r="H23">
        <v>2643424.1446679998</v>
      </c>
    </row>
    <row r="24" spans="1:8" x14ac:dyDescent="0.3">
      <c r="A24" s="1" t="s">
        <v>21</v>
      </c>
      <c r="B24">
        <v>5.0380963375423642</v>
      </c>
      <c r="C24">
        <v>14613.770377538698</v>
      </c>
      <c r="D24" s="16">
        <v>10108977</v>
      </c>
      <c r="E24">
        <v>91.4</v>
      </c>
      <c r="F24">
        <v>97.9</v>
      </c>
      <c r="G24" s="8">
        <f t="shared" si="1"/>
        <v>14613770.377538698</v>
      </c>
      <c r="H24">
        <v>606123.20347199996</v>
      </c>
    </row>
    <row r="25" spans="1:8" x14ac:dyDescent="0.3">
      <c r="A25" s="1" t="s">
        <v>22</v>
      </c>
      <c r="B25">
        <v>5.0288246268573999</v>
      </c>
      <c r="C25">
        <v>15491.939207398358</v>
      </c>
      <c r="D25" s="16">
        <v>22553978</v>
      </c>
      <c r="E25">
        <v>95.35</v>
      </c>
      <c r="F25">
        <v>117.49</v>
      </c>
      <c r="G25" s="8">
        <f t="shared" si="1"/>
        <v>15491939.207398359</v>
      </c>
      <c r="H25">
        <v>1151213.9579640001</v>
      </c>
    </row>
    <row r="26" spans="1:8" x14ac:dyDescent="0.3">
      <c r="A26" s="1" t="s">
        <v>23</v>
      </c>
      <c r="B26">
        <v>8.9567435226469474</v>
      </c>
      <c r="C26">
        <v>285162.5399297789</v>
      </c>
      <c r="D26" s="16">
        <v>8846062</v>
      </c>
      <c r="E26">
        <v>97.74</v>
      </c>
      <c r="F26">
        <v>108.9</v>
      </c>
      <c r="G26" s="8">
        <f t="shared" si="1"/>
        <v>285162539.92977887</v>
      </c>
      <c r="H26">
        <v>188686.51560000001</v>
      </c>
    </row>
    <row r="27" spans="1:8" x14ac:dyDescent="0.3">
      <c r="A27" s="1" t="s">
        <v>24</v>
      </c>
      <c r="B27">
        <v>7.8520741308615865</v>
      </c>
      <c r="C27">
        <v>12419.300799715602</v>
      </c>
      <c r="D27" s="16">
        <v>1985956</v>
      </c>
      <c r="E27">
        <v>109.48</v>
      </c>
      <c r="F27">
        <v>106.13</v>
      </c>
      <c r="G27" s="8">
        <f t="shared" si="1"/>
        <v>12419300.799715603</v>
      </c>
      <c r="H27">
        <v>436442.37339600001</v>
      </c>
    </row>
    <row r="28" spans="1:8" x14ac:dyDescent="0.3">
      <c r="A28" s="1" t="s">
        <v>25</v>
      </c>
      <c r="B28">
        <v>7.9206185836947043</v>
      </c>
      <c r="C28">
        <v>7419.7757387633328</v>
      </c>
      <c r="D28" s="16">
        <v>5383291</v>
      </c>
      <c r="E28">
        <v>102.66</v>
      </c>
      <c r="F28">
        <v>202.01</v>
      </c>
      <c r="G28" s="8">
        <f t="shared" si="1"/>
        <v>7419775.7387633324</v>
      </c>
      <c r="H28">
        <v>1422155.5605359999</v>
      </c>
    </row>
    <row r="29" spans="1:8" x14ac:dyDescent="0.3">
      <c r="A29" s="1" t="s">
        <v>26</v>
      </c>
      <c r="B29">
        <v>6.4865021294221092</v>
      </c>
      <c r="C29">
        <v>25417.805600752054</v>
      </c>
      <c r="D29" s="16">
        <v>58316954</v>
      </c>
      <c r="E29">
        <v>101.39</v>
      </c>
      <c r="F29">
        <v>95.85</v>
      </c>
      <c r="G29" s="8">
        <f t="shared" si="1"/>
        <v>25417805.600752052</v>
      </c>
      <c r="H29">
        <v>5684074.3306440003</v>
      </c>
    </row>
    <row r="30" spans="1:8" x14ac:dyDescent="0.3">
      <c r="A30" s="13" t="s">
        <v>0</v>
      </c>
      <c r="B30">
        <v>8.1072722369865868</v>
      </c>
      <c r="C30">
        <v>29752.859841508911</v>
      </c>
      <c r="D30" s="16">
        <v>7976789</v>
      </c>
      <c r="E30">
        <v>103.6</v>
      </c>
      <c r="F30">
        <v>90.14</v>
      </c>
      <c r="G30" s="8">
        <f t="shared" si="1"/>
        <v>29752859.84150891</v>
      </c>
      <c r="H30">
        <v>908527.10079599998</v>
      </c>
    </row>
    <row r="31" spans="1:8" x14ac:dyDescent="0.3">
      <c r="A31" s="1" t="s">
        <v>1</v>
      </c>
      <c r="B31">
        <v>11.703411386132402</v>
      </c>
      <c r="C31">
        <v>27965.542905014874</v>
      </c>
      <c r="D31" s="16">
        <v>10203008</v>
      </c>
      <c r="G31" s="8">
        <f t="shared" si="1"/>
        <v>27965542.905014873</v>
      </c>
      <c r="H31">
        <v>1442855.8952279999</v>
      </c>
    </row>
    <row r="32" spans="1:8" x14ac:dyDescent="0.3">
      <c r="A32" s="1" t="s">
        <v>2</v>
      </c>
      <c r="B32">
        <v>6.1270814091584791</v>
      </c>
      <c r="C32">
        <v>6048.0469676837938</v>
      </c>
      <c r="D32" s="16">
        <v>8256786</v>
      </c>
      <c r="E32">
        <v>79.77</v>
      </c>
      <c r="F32">
        <v>184.58</v>
      </c>
      <c r="G32" s="8">
        <f t="shared" si="1"/>
        <v>6048046.967683794</v>
      </c>
      <c r="H32">
        <v>409708.81803600001</v>
      </c>
    </row>
    <row r="33" spans="1:8" x14ac:dyDescent="0.3">
      <c r="A33" s="1" t="s">
        <v>3</v>
      </c>
      <c r="B33">
        <v>7.2080201604472274</v>
      </c>
      <c r="C33">
        <v>18491.60652039132</v>
      </c>
      <c r="D33" s="16">
        <v>679039</v>
      </c>
      <c r="E33">
        <v>183.62</v>
      </c>
      <c r="F33">
        <v>109.18</v>
      </c>
      <c r="G33" s="8">
        <f t="shared" si="1"/>
        <v>18491606.520391319</v>
      </c>
      <c r="H33">
        <v>53065.136052000002</v>
      </c>
    </row>
    <row r="34" spans="1:8" x14ac:dyDescent="0.3">
      <c r="A34" s="1" t="s">
        <v>4</v>
      </c>
      <c r="B34">
        <v>11.262732553086515</v>
      </c>
      <c r="C34">
        <v>268653.11545445264</v>
      </c>
      <c r="D34" s="16">
        <v>10294373</v>
      </c>
      <c r="E34">
        <v>91.96</v>
      </c>
      <c r="F34">
        <v>133.66</v>
      </c>
      <c r="G34" s="8">
        <f t="shared" si="1"/>
        <v>268653115.45445263</v>
      </c>
      <c r="H34">
        <v>1013382.617904</v>
      </c>
    </row>
    <row r="35" spans="1:8" ht="24" x14ac:dyDescent="0.3">
      <c r="A35" s="2" t="s">
        <v>5</v>
      </c>
      <c r="B35">
        <v>8.1274126069946853</v>
      </c>
      <c r="C35">
        <v>27370.798526783274</v>
      </c>
      <c r="D35" s="16">
        <v>82047195</v>
      </c>
      <c r="E35">
        <v>92.38</v>
      </c>
      <c r="F35">
        <v>88.4</v>
      </c>
      <c r="G35" s="8">
        <f t="shared" si="1"/>
        <v>27370798.526783273</v>
      </c>
      <c r="H35">
        <v>8926672.7630879991</v>
      </c>
    </row>
    <row r="36" spans="1:8" x14ac:dyDescent="0.3">
      <c r="A36" s="1" t="s">
        <v>6</v>
      </c>
      <c r="B36">
        <v>11.551942017255445</v>
      </c>
      <c r="C36">
        <v>296056.62586706923</v>
      </c>
      <c r="D36" s="16">
        <v>5304219</v>
      </c>
      <c r="E36">
        <v>94.36</v>
      </c>
      <c r="F36">
        <v>100.12</v>
      </c>
      <c r="G36" s="8">
        <f t="shared" si="1"/>
        <v>296056625.86706924</v>
      </c>
      <c r="H36">
        <v>599621.73109200003</v>
      </c>
    </row>
    <row r="37" spans="1:8" x14ac:dyDescent="0.3">
      <c r="A37" s="1" t="s">
        <v>7</v>
      </c>
      <c r="B37">
        <v>11.730281440184221</v>
      </c>
      <c r="C37">
        <v>6950.5930134016671</v>
      </c>
      <c r="D37" s="16">
        <v>1386156</v>
      </c>
      <c r="E37">
        <v>54.9</v>
      </c>
      <c r="F37">
        <v>92.9</v>
      </c>
      <c r="G37" s="8">
        <f t="shared" si="1"/>
        <v>6950593.0134016667</v>
      </c>
      <c r="H37">
        <v>110791.05973199999</v>
      </c>
    </row>
    <row r="38" spans="1:8" x14ac:dyDescent="0.3">
      <c r="A38" s="1" t="s">
        <v>8</v>
      </c>
      <c r="B38">
        <v>10.520042763192576</v>
      </c>
      <c r="C38">
        <v>16397.925417802457</v>
      </c>
      <c r="D38" s="16">
        <v>10720509</v>
      </c>
      <c r="E38">
        <v>103.35</v>
      </c>
      <c r="F38">
        <v>109</v>
      </c>
      <c r="G38" s="8">
        <f t="shared" si="1"/>
        <v>16397925.417802457</v>
      </c>
      <c r="H38">
        <v>726300.90133200004</v>
      </c>
    </row>
    <row r="39" spans="1:8" x14ac:dyDescent="0.3">
      <c r="A39" s="1" t="s">
        <v>31</v>
      </c>
      <c r="B39">
        <v>6.3699067130120346</v>
      </c>
      <c r="C39">
        <v>19671.869732097963</v>
      </c>
      <c r="D39" s="16">
        <v>40223509</v>
      </c>
      <c r="E39">
        <v>86.03</v>
      </c>
      <c r="F39">
        <v>84.67</v>
      </c>
      <c r="G39" s="8">
        <f t="shared" si="1"/>
        <v>19671869.732097961</v>
      </c>
      <c r="H39">
        <v>2873855.861424</v>
      </c>
    </row>
    <row r="40" spans="1:8" x14ac:dyDescent="0.3">
      <c r="A40" s="1" t="s">
        <v>9</v>
      </c>
      <c r="B40">
        <v>11.112840249477152</v>
      </c>
      <c r="C40">
        <v>27752.777074936286</v>
      </c>
      <c r="D40" s="16">
        <v>5153498</v>
      </c>
      <c r="E40">
        <v>77.81</v>
      </c>
      <c r="F40">
        <v>96.04</v>
      </c>
      <c r="G40" s="8">
        <f t="shared" si="1"/>
        <v>27752777.074936286</v>
      </c>
      <c r="H40">
        <v>971675.51662799995</v>
      </c>
    </row>
    <row r="41" spans="1:8" x14ac:dyDescent="0.3">
      <c r="A41" s="1" t="s">
        <v>10</v>
      </c>
      <c r="B41">
        <v>6.3333366785030289</v>
      </c>
      <c r="C41">
        <v>27300.530305227883</v>
      </c>
      <c r="D41" s="16">
        <v>60046709</v>
      </c>
      <c r="E41">
        <v>101.28</v>
      </c>
      <c r="F41">
        <v>112.13</v>
      </c>
      <c r="G41" s="8">
        <f t="shared" si="1"/>
        <v>27300530.305227883</v>
      </c>
      <c r="H41">
        <v>6042230.1591840005</v>
      </c>
    </row>
    <row r="42" spans="1:8" x14ac:dyDescent="0.3">
      <c r="A42" s="1" t="s">
        <v>11</v>
      </c>
      <c r="B42">
        <v>4.0753419745881354</v>
      </c>
      <c r="C42">
        <v>56033.110745377009</v>
      </c>
      <c r="D42" s="16">
        <v>4532136</v>
      </c>
      <c r="E42">
        <v>97.46</v>
      </c>
      <c r="F42">
        <v>68.540000000000006</v>
      </c>
      <c r="G42" s="8">
        <f t="shared" si="1"/>
        <v>56033110.745377012</v>
      </c>
      <c r="H42">
        <v>247385.828412</v>
      </c>
    </row>
    <row r="43" spans="1:8" x14ac:dyDescent="0.3">
      <c r="A43" s="1" t="s">
        <v>12</v>
      </c>
      <c r="B43">
        <v>5.5860915573555729</v>
      </c>
      <c r="C43">
        <v>2013603.9511067474</v>
      </c>
      <c r="D43" s="16">
        <v>10266570</v>
      </c>
      <c r="E43">
        <v>90.32</v>
      </c>
      <c r="F43">
        <v>115.08</v>
      </c>
      <c r="G43" s="8">
        <f t="shared" si="1"/>
        <v>2013603951.1067474</v>
      </c>
      <c r="H43">
        <v>654321.64507199998</v>
      </c>
    </row>
    <row r="44" spans="1:8" x14ac:dyDescent="0.3">
      <c r="A44" s="1" t="s">
        <v>13</v>
      </c>
      <c r="B44">
        <v>10.415611727973419</v>
      </c>
      <c r="C44">
        <v>28191.384586621149</v>
      </c>
      <c r="D44" s="16">
        <v>3712696</v>
      </c>
      <c r="E44">
        <v>92.32</v>
      </c>
      <c r="F44">
        <v>92.55</v>
      </c>
      <c r="G44" s="8">
        <f t="shared" si="1"/>
        <v>28191384.58662115</v>
      </c>
      <c r="H44">
        <v>371919.26365199999</v>
      </c>
    </row>
    <row r="45" spans="1:8" x14ac:dyDescent="0.3">
      <c r="A45" s="1" t="s">
        <v>14</v>
      </c>
      <c r="B45">
        <v>7.4924335857275546</v>
      </c>
      <c r="C45">
        <v>26022.714197473677</v>
      </c>
      <c r="D45" s="16">
        <v>56906744</v>
      </c>
      <c r="E45">
        <v>111.93</v>
      </c>
      <c r="F45">
        <v>111.4</v>
      </c>
      <c r="G45" s="8">
        <f t="shared" si="1"/>
        <v>26022714.197473679</v>
      </c>
      <c r="H45">
        <v>4857887.6856720001</v>
      </c>
    </row>
    <row r="46" spans="1:8" x14ac:dyDescent="0.3">
      <c r="A46" s="1" t="s">
        <v>15</v>
      </c>
      <c r="B46">
        <v>4.144442995032021</v>
      </c>
      <c r="C46">
        <v>5034.5833712995491</v>
      </c>
      <c r="D46" s="16">
        <v>3549331</v>
      </c>
      <c r="E46">
        <v>71.63</v>
      </c>
      <c r="F46">
        <v>110.67</v>
      </c>
      <c r="G46" s="8">
        <f t="shared" si="1"/>
        <v>5034583.371299549</v>
      </c>
      <c r="H46">
        <v>186010.73172000001</v>
      </c>
    </row>
    <row r="47" spans="1:8" x14ac:dyDescent="0.3">
      <c r="A47" s="1" t="s">
        <v>16</v>
      </c>
      <c r="B47">
        <v>17.871438662585355</v>
      </c>
      <c r="C47">
        <v>64507.66050003768</v>
      </c>
      <c r="D47" s="16">
        <v>424700</v>
      </c>
      <c r="G47" s="8">
        <f t="shared" si="1"/>
        <v>64507660.500037678</v>
      </c>
      <c r="H47">
        <v>120248.538516</v>
      </c>
    </row>
    <row r="48" spans="1:8" x14ac:dyDescent="0.3">
      <c r="A48" s="1" t="s">
        <v>17</v>
      </c>
      <c r="B48">
        <v>3.3734173879956963</v>
      </c>
      <c r="C48">
        <v>4786.3597503953288</v>
      </c>
      <c r="D48" s="16">
        <v>2410019</v>
      </c>
      <c r="E48">
        <v>49.57</v>
      </c>
      <c r="F48">
        <v>92.52</v>
      </c>
      <c r="G48" s="8">
        <f t="shared" si="1"/>
        <v>4786359.7503953287</v>
      </c>
      <c r="H48">
        <v>149177.86113599999</v>
      </c>
    </row>
    <row r="49" spans="1:8" x14ac:dyDescent="0.3">
      <c r="A49" s="1" t="s">
        <v>18</v>
      </c>
      <c r="B49">
        <v>6.1512586721067679</v>
      </c>
      <c r="C49">
        <v>19284.566901216236</v>
      </c>
      <c r="D49" s="16">
        <v>385287</v>
      </c>
      <c r="E49">
        <v>76.459999999999994</v>
      </c>
      <c r="F49">
        <v>133.74</v>
      </c>
      <c r="G49" s="8">
        <f t="shared" si="1"/>
        <v>19284566.901216235</v>
      </c>
      <c r="H49">
        <v>15556.306608000001</v>
      </c>
    </row>
    <row r="50" spans="1:8" x14ac:dyDescent="0.3">
      <c r="A50" s="1" t="s">
        <v>19</v>
      </c>
      <c r="B50">
        <v>10.626967528094902</v>
      </c>
      <c r="C50">
        <v>32481.420362785644</v>
      </c>
      <c r="D50" s="16">
        <v>15707209</v>
      </c>
      <c r="E50">
        <v>115.2</v>
      </c>
      <c r="F50">
        <v>96.16</v>
      </c>
      <c r="G50" s="8">
        <f t="shared" si="1"/>
        <v>32481420.362785645</v>
      </c>
      <c r="H50">
        <v>2022455.595096</v>
      </c>
    </row>
    <row r="51" spans="1:8" x14ac:dyDescent="0.3">
      <c r="A51" s="1" t="s">
        <v>20</v>
      </c>
      <c r="B51">
        <v>8.2354198785153354</v>
      </c>
      <c r="C51">
        <v>23300.483207924295</v>
      </c>
      <c r="D51" s="16">
        <v>38663481</v>
      </c>
      <c r="E51">
        <v>113.82</v>
      </c>
      <c r="F51">
        <v>88.25</v>
      </c>
      <c r="G51" s="8">
        <f t="shared" si="1"/>
        <v>23300483.207924295</v>
      </c>
      <c r="H51">
        <v>2441847.0580199999</v>
      </c>
    </row>
    <row r="52" spans="1:8" x14ac:dyDescent="0.3">
      <c r="A52" s="1" t="s">
        <v>21</v>
      </c>
      <c r="B52">
        <v>5.472335376207309</v>
      </c>
      <c r="C52">
        <v>15239.182983472958</v>
      </c>
      <c r="D52" s="16">
        <v>10160196</v>
      </c>
      <c r="E52">
        <v>79.16</v>
      </c>
      <c r="F52">
        <v>100.54</v>
      </c>
      <c r="G52" s="8">
        <f t="shared" si="1"/>
        <v>15239182.983472958</v>
      </c>
      <c r="H52">
        <v>645985.391328</v>
      </c>
    </row>
    <row r="53" spans="1:8" x14ac:dyDescent="0.3">
      <c r="A53" s="1" t="s">
        <v>22</v>
      </c>
      <c r="B53">
        <v>4.4158919861890409</v>
      </c>
      <c r="C53">
        <v>15208.931378264802</v>
      </c>
      <c r="D53" s="16">
        <v>22507344</v>
      </c>
      <c r="E53">
        <v>79.87</v>
      </c>
      <c r="F53">
        <v>110.4</v>
      </c>
      <c r="G53" s="8">
        <f t="shared" si="1"/>
        <v>15208931.378264802</v>
      </c>
      <c r="H53">
        <v>1051060.1335199999</v>
      </c>
    </row>
    <row r="54" spans="1:8" x14ac:dyDescent="0.3">
      <c r="A54" s="1" t="s">
        <v>23</v>
      </c>
      <c r="B54">
        <v>8.9768450128208528</v>
      </c>
      <c r="C54">
        <v>297293.20241115836</v>
      </c>
      <c r="D54" s="16">
        <v>8850974</v>
      </c>
      <c r="E54">
        <v>94.46</v>
      </c>
      <c r="F54">
        <v>107.66</v>
      </c>
      <c r="G54" s="8">
        <f t="shared" si="1"/>
        <v>297293202.41115838</v>
      </c>
      <c r="H54">
        <v>181452.85563599999</v>
      </c>
    </row>
    <row r="55" spans="1:8" x14ac:dyDescent="0.3">
      <c r="A55" s="1" t="s">
        <v>24</v>
      </c>
      <c r="B55">
        <v>7.6801552949661964</v>
      </c>
      <c r="C55">
        <v>12854.582992578327</v>
      </c>
      <c r="D55" s="16">
        <v>1981629</v>
      </c>
      <c r="E55">
        <v>114.89</v>
      </c>
      <c r="F55">
        <v>108.8</v>
      </c>
      <c r="G55" s="8">
        <f t="shared" si="1"/>
        <v>12854582.992578328</v>
      </c>
      <c r="H55">
        <v>428416.69647600001</v>
      </c>
    </row>
    <row r="56" spans="1:8" x14ac:dyDescent="0.3">
      <c r="A56" s="1" t="s">
        <v>25</v>
      </c>
      <c r="B56">
        <v>7.8218475809548602</v>
      </c>
      <c r="C56">
        <v>7711.8628688813833</v>
      </c>
      <c r="D56" s="16">
        <v>5390516</v>
      </c>
      <c r="E56">
        <v>96.74</v>
      </c>
      <c r="F56">
        <v>193.65</v>
      </c>
      <c r="G56" s="8">
        <f t="shared" si="1"/>
        <v>7711862.868881383</v>
      </c>
      <c r="H56">
        <v>1434616.314696</v>
      </c>
    </row>
    <row r="57" spans="1:8" x14ac:dyDescent="0.3">
      <c r="A57" s="1" t="s">
        <v>26</v>
      </c>
      <c r="B57">
        <v>6.5936246112574723</v>
      </c>
      <c r="C57">
        <v>26143.182481769796</v>
      </c>
      <c r="D57" s="16">
        <v>58487141</v>
      </c>
      <c r="E57">
        <v>97.75</v>
      </c>
      <c r="F57">
        <v>97.87</v>
      </c>
      <c r="G57" s="8">
        <f t="shared" si="1"/>
        <v>26143182.481769796</v>
      </c>
      <c r="H57">
        <v>5694085.0531799998</v>
      </c>
    </row>
    <row r="58" spans="1:8" x14ac:dyDescent="0.3">
      <c r="A58" s="13" t="s">
        <v>0</v>
      </c>
      <c r="B58">
        <v>7.888819322139593</v>
      </c>
      <c r="C58">
        <v>30751.081577242116</v>
      </c>
      <c r="D58" s="16">
        <v>7992324</v>
      </c>
      <c r="E58">
        <v>107.42</v>
      </c>
      <c r="F58">
        <v>91.79</v>
      </c>
      <c r="G58" s="8">
        <f t="shared" si="1"/>
        <v>30751081.577242117</v>
      </c>
      <c r="H58">
        <v>917290.45000800001</v>
      </c>
    </row>
    <row r="59" spans="1:8" x14ac:dyDescent="0.3">
      <c r="A59" s="1" t="s">
        <v>1</v>
      </c>
      <c r="B59">
        <v>11.295253988712961</v>
      </c>
      <c r="C59">
        <v>28890.001678451663</v>
      </c>
      <c r="D59" s="16">
        <v>10226419</v>
      </c>
      <c r="G59" s="8">
        <f t="shared" si="1"/>
        <v>28890001.678451665</v>
      </c>
      <c r="H59">
        <v>1432361.974104</v>
      </c>
    </row>
    <row r="60" spans="1:8" x14ac:dyDescent="0.3">
      <c r="A60" s="1" t="s">
        <v>2</v>
      </c>
      <c r="B60">
        <v>5.3954486285086247</v>
      </c>
      <c r="C60">
        <v>5571.3959649478538</v>
      </c>
      <c r="D60" s="16">
        <v>8210624</v>
      </c>
      <c r="E60">
        <v>78.39</v>
      </c>
      <c r="F60">
        <v>194.82</v>
      </c>
      <c r="G60" s="8">
        <f t="shared" si="1"/>
        <v>5571395.9649478542</v>
      </c>
      <c r="H60">
        <v>359744.426064</v>
      </c>
    </row>
    <row r="61" spans="1:8" x14ac:dyDescent="0.3">
      <c r="A61" s="1" t="s">
        <v>3</v>
      </c>
      <c r="B61">
        <v>7.3538225299093245</v>
      </c>
      <c r="C61">
        <v>19199.761169686026</v>
      </c>
      <c r="D61" s="16">
        <v>686680</v>
      </c>
      <c r="E61">
        <v>192.74</v>
      </c>
      <c r="F61">
        <v>113.55</v>
      </c>
      <c r="G61" s="8">
        <f t="shared" si="1"/>
        <v>19199761.169686027</v>
      </c>
      <c r="H61">
        <v>54617.392152</v>
      </c>
    </row>
    <row r="62" spans="1:8" x14ac:dyDescent="0.3">
      <c r="A62" s="1" t="s">
        <v>4</v>
      </c>
      <c r="B62">
        <v>10.703147563446121</v>
      </c>
      <c r="C62">
        <v>272650.11524228257</v>
      </c>
      <c r="D62" s="16">
        <v>10283860</v>
      </c>
      <c r="E62">
        <v>98.08</v>
      </c>
      <c r="F62">
        <v>129.16</v>
      </c>
      <c r="G62" s="8">
        <f t="shared" si="1"/>
        <v>272650115.24228257</v>
      </c>
      <c r="H62">
        <v>976938.70103999996</v>
      </c>
    </row>
    <row r="63" spans="1:8" ht="24" x14ac:dyDescent="0.3">
      <c r="A63" s="2" t="s">
        <v>5</v>
      </c>
      <c r="B63">
        <v>8.1213949694555634</v>
      </c>
      <c r="C63">
        <v>27869.337923343297</v>
      </c>
      <c r="D63" s="16">
        <v>82100243</v>
      </c>
      <c r="E63">
        <v>96.44</v>
      </c>
      <c r="F63">
        <v>90.15</v>
      </c>
      <c r="G63" s="8">
        <f t="shared" si="1"/>
        <v>27869337.923343297</v>
      </c>
      <c r="H63">
        <v>8754047.1472319998</v>
      </c>
    </row>
    <row r="64" spans="1:8" x14ac:dyDescent="0.3">
      <c r="A64" s="1" t="s">
        <v>6</v>
      </c>
      <c r="B64">
        <v>10.885990279914353</v>
      </c>
      <c r="C64">
        <v>303777.61768153962</v>
      </c>
      <c r="D64" s="16">
        <v>5321799</v>
      </c>
      <c r="E64">
        <v>89.37</v>
      </c>
      <c r="F64">
        <v>100.37</v>
      </c>
      <c r="G64" s="8">
        <f t="shared" si="1"/>
        <v>303777617.6815396</v>
      </c>
      <c r="H64">
        <v>596147.06390399998</v>
      </c>
    </row>
    <row r="65" spans="1:8" x14ac:dyDescent="0.3">
      <c r="A65" s="1" t="s">
        <v>7</v>
      </c>
      <c r="B65">
        <v>10.933332566081924</v>
      </c>
      <c r="C65">
        <v>6900.6997748042786</v>
      </c>
      <c r="D65" s="16">
        <v>1390244</v>
      </c>
      <c r="E65">
        <v>52.25</v>
      </c>
      <c r="F65">
        <v>86.19</v>
      </c>
      <c r="G65" s="8">
        <f t="shared" si="1"/>
        <v>6900699.7748042783</v>
      </c>
      <c r="H65">
        <v>100730.179332</v>
      </c>
    </row>
    <row r="66" spans="1:8" x14ac:dyDescent="0.3">
      <c r="A66" s="1" t="s">
        <v>8</v>
      </c>
      <c r="B66">
        <v>10.150396266184011</v>
      </c>
      <c r="C66">
        <v>16837.078209917247</v>
      </c>
      <c r="D66" s="16">
        <v>10761698</v>
      </c>
      <c r="E66">
        <v>109.61</v>
      </c>
      <c r="F66">
        <v>106.33</v>
      </c>
      <c r="G66" s="8">
        <f t="shared" si="1"/>
        <v>16837078.209917247</v>
      </c>
      <c r="H66">
        <v>719478.38512800005</v>
      </c>
    </row>
    <row r="67" spans="1:8" x14ac:dyDescent="0.3">
      <c r="A67" s="1" t="s">
        <v>31</v>
      </c>
      <c r="B67">
        <v>6.8911001408254533</v>
      </c>
      <c r="C67">
        <v>20472.086860102445</v>
      </c>
      <c r="D67" s="16">
        <v>40386875</v>
      </c>
      <c r="E67">
        <v>84.81</v>
      </c>
      <c r="F67">
        <v>85.85</v>
      </c>
      <c r="G67" s="8">
        <f t="shared" si="1"/>
        <v>20472086.860102445</v>
      </c>
      <c r="H67">
        <v>2981686.8535560002</v>
      </c>
    </row>
    <row r="68" spans="1:8" x14ac:dyDescent="0.3">
      <c r="A68" s="1" t="s">
        <v>9</v>
      </c>
      <c r="B68">
        <v>10.939944717561254</v>
      </c>
      <c r="C68">
        <v>28901.06896805792</v>
      </c>
      <c r="D68" s="16">
        <v>5165474</v>
      </c>
      <c r="E68">
        <v>87.02</v>
      </c>
      <c r="F68">
        <v>94.63</v>
      </c>
      <c r="G68" s="8">
        <f t="shared" si="1"/>
        <v>28901068.968057919</v>
      </c>
      <c r="H68">
        <v>975986.58085200004</v>
      </c>
    </row>
    <row r="69" spans="1:8" x14ac:dyDescent="0.3">
      <c r="A69" s="1" t="s">
        <v>10</v>
      </c>
      <c r="B69">
        <v>6.1986843978353336</v>
      </c>
      <c r="C69">
        <v>28091.862003460774</v>
      </c>
      <c r="D69" s="16">
        <v>60351778</v>
      </c>
      <c r="E69">
        <v>104.82</v>
      </c>
      <c r="F69">
        <v>109.32</v>
      </c>
      <c r="G69" s="8">
        <f t="shared" si="1"/>
        <v>28091862.003460772</v>
      </c>
      <c r="H69">
        <v>6071382.8475839999</v>
      </c>
    </row>
    <row r="70" spans="1:8" x14ac:dyDescent="0.3">
      <c r="A70" s="1" t="s">
        <v>11</v>
      </c>
      <c r="B70">
        <v>4.1018508854214106</v>
      </c>
      <c r="C70">
        <v>55782.487007850024</v>
      </c>
      <c r="D70" s="16">
        <v>4512598</v>
      </c>
      <c r="E70">
        <v>93.95</v>
      </c>
      <c r="F70">
        <v>72.260000000000005</v>
      </c>
      <c r="G70" s="8">
        <f t="shared" si="1"/>
        <v>55782487.007850021</v>
      </c>
      <c r="H70">
        <v>254344.08067200001</v>
      </c>
    </row>
    <row r="71" spans="1:8" x14ac:dyDescent="0.3">
      <c r="A71" s="1" t="s">
        <v>12</v>
      </c>
      <c r="B71">
        <v>5.6566378804262349</v>
      </c>
      <c r="C71">
        <v>2081329.5161186343</v>
      </c>
      <c r="D71" s="16">
        <v>10237530</v>
      </c>
      <c r="E71">
        <v>84.67</v>
      </c>
      <c r="F71">
        <v>115.52</v>
      </c>
      <c r="G71" s="8">
        <f t="shared" si="1"/>
        <v>2081329516.1186342</v>
      </c>
      <c r="H71">
        <v>664797.22801199998</v>
      </c>
    </row>
    <row r="72" spans="1:8" x14ac:dyDescent="0.3">
      <c r="A72" s="1" t="s">
        <v>13</v>
      </c>
      <c r="B72">
        <v>10.727642001434969</v>
      </c>
      <c r="C72">
        <v>30808.565003086722</v>
      </c>
      <c r="D72" s="16">
        <v>3754786</v>
      </c>
      <c r="E72">
        <v>96.93</v>
      </c>
      <c r="F72">
        <v>97.06</v>
      </c>
      <c r="G72" s="8">
        <f t="shared" si="1"/>
        <v>30808565.003086723</v>
      </c>
      <c r="H72">
        <v>393949.57723200001</v>
      </c>
    </row>
    <row r="73" spans="1:8" x14ac:dyDescent="0.3">
      <c r="A73" s="1" t="s">
        <v>14</v>
      </c>
      <c r="B73">
        <v>7.6078359040694785</v>
      </c>
      <c r="C73">
        <v>26441.324616109647</v>
      </c>
      <c r="D73" s="16">
        <v>56916317</v>
      </c>
      <c r="E73">
        <v>121.3</v>
      </c>
      <c r="F73">
        <v>115.62</v>
      </c>
      <c r="G73" s="8">
        <f t="shared" si="1"/>
        <v>26441324.616109647</v>
      </c>
      <c r="H73">
        <v>5035801.3974000001</v>
      </c>
    </row>
    <row r="74" spans="1:8" x14ac:dyDescent="0.3">
      <c r="A74" s="1" t="s">
        <v>15</v>
      </c>
      <c r="B74">
        <v>3.4759286972105747</v>
      </c>
      <c r="C74">
        <v>5012.5476029519004</v>
      </c>
      <c r="D74" s="16">
        <v>3524238</v>
      </c>
      <c r="E74">
        <v>60.34</v>
      </c>
      <c r="F74">
        <v>101.29</v>
      </c>
      <c r="G74" s="8">
        <f t="shared" si="1"/>
        <v>5012547.6029519001</v>
      </c>
      <c r="H74">
        <v>168504.29740800001</v>
      </c>
    </row>
    <row r="75" spans="1:8" x14ac:dyDescent="0.3">
      <c r="A75" s="1" t="s">
        <v>16</v>
      </c>
      <c r="B75">
        <v>18.467971426912129</v>
      </c>
      <c r="C75">
        <v>68845.134177726941</v>
      </c>
      <c r="D75" s="16">
        <v>430475</v>
      </c>
      <c r="G75" s="8">
        <f t="shared" ref="G75:G138" si="2">C75*1000</f>
        <v>68845134.177726939</v>
      </c>
      <c r="H75">
        <v>125477.97732000001</v>
      </c>
    </row>
    <row r="76" spans="1:8" x14ac:dyDescent="0.3">
      <c r="A76" s="1" t="s">
        <v>17</v>
      </c>
      <c r="B76">
        <v>3.1583588581716993</v>
      </c>
      <c r="C76">
        <v>4958.4767075581412</v>
      </c>
      <c r="D76" s="16">
        <v>2390482</v>
      </c>
      <c r="E76">
        <v>48.96</v>
      </c>
      <c r="F76">
        <v>79.209999999999994</v>
      </c>
      <c r="G76" s="8">
        <f t="shared" si="2"/>
        <v>4958476.7075581411</v>
      </c>
      <c r="H76">
        <v>140588.13852000001</v>
      </c>
    </row>
    <row r="77" spans="1:8" x14ac:dyDescent="0.3">
      <c r="A77" s="1" t="s">
        <v>18</v>
      </c>
      <c r="B77">
        <v>6.2181031947117749</v>
      </c>
      <c r="C77">
        <v>19170.574510598901</v>
      </c>
      <c r="D77" s="16">
        <v>387578</v>
      </c>
      <c r="E77">
        <v>96.81</v>
      </c>
      <c r="F77">
        <v>134.62</v>
      </c>
      <c r="G77" s="8">
        <f t="shared" si="2"/>
        <v>19170574.510598902</v>
      </c>
      <c r="H77">
        <v>15450.589908</v>
      </c>
    </row>
    <row r="78" spans="1:8" x14ac:dyDescent="0.3">
      <c r="A78" s="1" t="s">
        <v>19</v>
      </c>
      <c r="B78">
        <v>10.22255884232367</v>
      </c>
      <c r="C78">
        <v>33890.261176403779</v>
      </c>
      <c r="D78" s="16">
        <v>15812088</v>
      </c>
      <c r="E78">
        <v>110.05</v>
      </c>
      <c r="F78">
        <v>94.79</v>
      </c>
      <c r="G78" s="8">
        <f t="shared" si="2"/>
        <v>33890261.176403776</v>
      </c>
      <c r="H78">
        <v>2018303.1268559999</v>
      </c>
    </row>
    <row r="79" spans="1:8" x14ac:dyDescent="0.3">
      <c r="A79" s="1" t="s">
        <v>20</v>
      </c>
      <c r="B79">
        <v>7.992184017540902</v>
      </c>
      <c r="C79">
        <v>24387.104752154479</v>
      </c>
      <c r="D79" s="16">
        <v>38660271</v>
      </c>
      <c r="E79">
        <v>100.75</v>
      </c>
      <c r="F79">
        <v>87.12</v>
      </c>
      <c r="G79" s="8">
        <f t="shared" si="2"/>
        <v>24387104.752154477</v>
      </c>
      <c r="H79">
        <v>2386349.3074320001</v>
      </c>
    </row>
    <row r="80" spans="1:8" x14ac:dyDescent="0.3">
      <c r="A80" s="1" t="s">
        <v>21</v>
      </c>
      <c r="B80">
        <v>6.0883780780024876</v>
      </c>
      <c r="C80">
        <v>15745.201418871997</v>
      </c>
      <c r="D80" s="16">
        <v>10217828</v>
      </c>
      <c r="E80">
        <v>100.15</v>
      </c>
      <c r="F80">
        <v>102.37</v>
      </c>
      <c r="G80" s="8">
        <f t="shared" si="2"/>
        <v>15745201.418871997</v>
      </c>
      <c r="H80">
        <v>670504.54816799995</v>
      </c>
    </row>
    <row r="81" spans="1:8" x14ac:dyDescent="0.3">
      <c r="A81" s="1" t="s">
        <v>22</v>
      </c>
      <c r="B81">
        <v>3.8047280086721096</v>
      </c>
      <c r="C81">
        <v>15175.446141115804</v>
      </c>
      <c r="D81" s="16">
        <v>22472040</v>
      </c>
      <c r="E81">
        <v>88.16</v>
      </c>
      <c r="F81">
        <v>109</v>
      </c>
      <c r="G81" s="8">
        <f t="shared" si="2"/>
        <v>15175446.141115805</v>
      </c>
      <c r="H81">
        <v>913124.33279999997</v>
      </c>
    </row>
    <row r="82" spans="1:8" x14ac:dyDescent="0.3">
      <c r="A82" s="1" t="s">
        <v>23</v>
      </c>
      <c r="B82">
        <v>8.9014664107673998</v>
      </c>
      <c r="C82">
        <v>309678.37457731954</v>
      </c>
      <c r="D82" s="16">
        <v>8857874</v>
      </c>
      <c r="E82">
        <v>85.32</v>
      </c>
      <c r="F82">
        <v>108.65</v>
      </c>
      <c r="G82" s="8">
        <f t="shared" si="2"/>
        <v>309678374.57731956</v>
      </c>
      <c r="H82">
        <v>183146.12315999999</v>
      </c>
    </row>
    <row r="83" spans="1:8" x14ac:dyDescent="0.3">
      <c r="A83" s="1" t="s">
        <v>24</v>
      </c>
      <c r="B83">
        <v>7.5351833388312119</v>
      </c>
      <c r="C83">
        <v>13530.406710387308</v>
      </c>
      <c r="D83" s="16">
        <v>1983045</v>
      </c>
      <c r="E83">
        <v>102.65</v>
      </c>
      <c r="F83">
        <v>108.64</v>
      </c>
      <c r="G83" s="8">
        <f t="shared" si="2"/>
        <v>13530406.710387308</v>
      </c>
      <c r="H83">
        <v>421691.94205200003</v>
      </c>
    </row>
    <row r="84" spans="1:8" x14ac:dyDescent="0.3">
      <c r="A84" s="1" t="s">
        <v>25</v>
      </c>
      <c r="B84">
        <v>7.5187401193618904</v>
      </c>
      <c r="C84">
        <v>7695.8368172540122</v>
      </c>
      <c r="D84" s="16">
        <v>5396020</v>
      </c>
      <c r="E84">
        <v>89.65</v>
      </c>
      <c r="F84">
        <v>189.49</v>
      </c>
      <c r="G84" s="8">
        <f t="shared" si="2"/>
        <v>7695836.8172540125</v>
      </c>
      <c r="H84">
        <v>1414274.998104</v>
      </c>
    </row>
    <row r="85" spans="1:8" x14ac:dyDescent="0.3">
      <c r="A85" s="1" t="s">
        <v>26</v>
      </c>
      <c r="B85">
        <v>6.4654340307843619</v>
      </c>
      <c r="C85">
        <v>26835.273077992326</v>
      </c>
      <c r="D85" s="16">
        <v>58682466</v>
      </c>
      <c r="E85">
        <v>100.1</v>
      </c>
      <c r="F85">
        <v>96.76</v>
      </c>
      <c r="G85" s="8">
        <f t="shared" si="2"/>
        <v>26835273.077992328</v>
      </c>
      <c r="H85">
        <v>5798368.2347280001</v>
      </c>
    </row>
    <row r="86" spans="1:8" x14ac:dyDescent="0.3">
      <c r="A86" s="13" t="s">
        <v>0</v>
      </c>
      <c r="B86">
        <v>7.9297855125951662</v>
      </c>
      <c r="C86">
        <v>31712.802172804917</v>
      </c>
      <c r="D86" s="16">
        <v>8011566</v>
      </c>
      <c r="E86">
        <v>100.96</v>
      </c>
      <c r="F86">
        <v>92.53</v>
      </c>
      <c r="G86" s="8">
        <f t="shared" si="2"/>
        <v>31712802.172804918</v>
      </c>
      <c r="H86">
        <v>918644.54486400005</v>
      </c>
    </row>
    <row r="87" spans="1:8" x14ac:dyDescent="0.3">
      <c r="A87" s="1" t="s">
        <v>1</v>
      </c>
      <c r="B87" s="18">
        <v>11.4405560297525</v>
      </c>
      <c r="C87">
        <v>29891.170984467262</v>
      </c>
      <c r="D87" s="16">
        <v>10251250</v>
      </c>
      <c r="E87">
        <v>96.95</v>
      </c>
      <c r="F87">
        <v>97.3</v>
      </c>
      <c r="G87" s="8">
        <f t="shared" si="2"/>
        <v>29891170.984467261</v>
      </c>
      <c r="H87">
        <v>1453551.2433</v>
      </c>
    </row>
    <row r="88" spans="1:8" x14ac:dyDescent="0.3">
      <c r="A88" s="1" t="s">
        <v>2</v>
      </c>
      <c r="B88">
        <v>5.3034379202787898</v>
      </c>
      <c r="C88">
        <v>5855.8188277591944</v>
      </c>
      <c r="D88" s="16">
        <v>8170172</v>
      </c>
      <c r="E88">
        <v>69.91</v>
      </c>
      <c r="F88">
        <v>188.42</v>
      </c>
      <c r="G88" s="8">
        <f t="shared" si="2"/>
        <v>5855818.8277591942</v>
      </c>
      <c r="H88">
        <v>358729.00146</v>
      </c>
    </row>
    <row r="89" spans="1:8" x14ac:dyDescent="0.3">
      <c r="A89" s="1" t="s">
        <v>3</v>
      </c>
      <c r="B89">
        <v>7.4950598332640723</v>
      </c>
      <c r="C89">
        <v>20129.828550350638</v>
      </c>
      <c r="D89" s="16">
        <v>694023</v>
      </c>
      <c r="E89">
        <v>176.48</v>
      </c>
      <c r="F89">
        <v>117</v>
      </c>
      <c r="G89" s="8">
        <f t="shared" si="2"/>
        <v>20129828.550350636</v>
      </c>
      <c r="H89">
        <v>56793.732660000001</v>
      </c>
    </row>
    <row r="90" spans="1:8" x14ac:dyDescent="0.3">
      <c r="A90" s="1" t="s">
        <v>4</v>
      </c>
      <c r="B90">
        <v>9.8714963772675794</v>
      </c>
      <c r="C90">
        <v>284355.17953945289</v>
      </c>
      <c r="D90" s="16">
        <v>10255063</v>
      </c>
      <c r="E90">
        <v>92.26</v>
      </c>
      <c r="F90">
        <v>123.84</v>
      </c>
      <c r="G90" s="8">
        <f t="shared" si="2"/>
        <v>284355179.53945291</v>
      </c>
      <c r="H90">
        <v>1005138.47376</v>
      </c>
    </row>
    <row r="91" spans="1:8" ht="24" x14ac:dyDescent="0.3">
      <c r="A91" s="2" t="s">
        <v>5</v>
      </c>
      <c r="B91">
        <v>8.7415952606228053</v>
      </c>
      <c r="C91">
        <v>28642.21632512203</v>
      </c>
      <c r="D91" s="16">
        <v>82211508</v>
      </c>
      <c r="E91">
        <v>101.29</v>
      </c>
      <c r="F91">
        <v>88.66</v>
      </c>
      <c r="G91" s="8">
        <f t="shared" si="2"/>
        <v>28642216.325122029</v>
      </c>
      <c r="H91">
        <v>8638440.5138760004</v>
      </c>
    </row>
    <row r="92" spans="1:8" x14ac:dyDescent="0.3">
      <c r="A92" s="1" t="s">
        <v>6</v>
      </c>
      <c r="B92">
        <v>12.010652689310637</v>
      </c>
      <c r="C92">
        <v>314108.1362405087</v>
      </c>
      <c r="D92" s="16">
        <v>5339616</v>
      </c>
      <c r="E92">
        <v>91.72</v>
      </c>
      <c r="F92">
        <v>99.92</v>
      </c>
      <c r="G92" s="8">
        <f t="shared" si="2"/>
        <v>314108136.24050868</v>
      </c>
      <c r="H92">
        <v>583246.61200800003</v>
      </c>
    </row>
    <row r="93" spans="1:8" x14ac:dyDescent="0.3">
      <c r="A93" s="1" t="s">
        <v>7</v>
      </c>
      <c r="B93">
        <v>10.608560578674789</v>
      </c>
      <c r="C93">
        <v>7560.1596973689784</v>
      </c>
      <c r="D93" s="16">
        <v>1396985</v>
      </c>
      <c r="E93">
        <v>73.83</v>
      </c>
      <c r="F93">
        <v>80.92</v>
      </c>
      <c r="G93" s="8">
        <f t="shared" si="2"/>
        <v>7560159.6973689785</v>
      </c>
      <c r="H93">
        <v>100578.617172</v>
      </c>
    </row>
    <row r="94" spans="1:8" x14ac:dyDescent="0.3">
      <c r="A94" s="1" t="s">
        <v>8</v>
      </c>
      <c r="B94">
        <v>10.096883273324702</v>
      </c>
      <c r="C94">
        <v>17425.628986657914</v>
      </c>
      <c r="D94" s="16">
        <v>10805808</v>
      </c>
      <c r="E94">
        <v>110.36</v>
      </c>
      <c r="F94">
        <v>110</v>
      </c>
      <c r="G94" s="8">
        <f t="shared" si="2"/>
        <v>17425628.986657914</v>
      </c>
      <c r="H94">
        <v>742571.68536</v>
      </c>
    </row>
    <row r="95" spans="1:8" x14ac:dyDescent="0.3">
      <c r="A95" s="1" t="s">
        <v>31</v>
      </c>
      <c r="B95">
        <v>7.2301070620824399</v>
      </c>
      <c r="C95">
        <v>21449.92614262363</v>
      </c>
      <c r="D95" s="16">
        <v>40567864</v>
      </c>
      <c r="E95">
        <v>94.81</v>
      </c>
      <c r="F95">
        <v>86.97</v>
      </c>
      <c r="G95" s="8">
        <f t="shared" si="2"/>
        <v>21449926.142623629</v>
      </c>
      <c r="H95">
        <v>3186063.402156</v>
      </c>
    </row>
    <row r="96" spans="1:8" x14ac:dyDescent="0.3">
      <c r="A96" s="1" t="s">
        <v>9</v>
      </c>
      <c r="B96">
        <v>10.644856109944556</v>
      </c>
      <c r="C96">
        <v>30506.233717991297</v>
      </c>
      <c r="D96" s="16">
        <v>5176209</v>
      </c>
      <c r="E96">
        <v>108.21</v>
      </c>
      <c r="F96">
        <v>94.74</v>
      </c>
      <c r="G96" s="8">
        <f t="shared" si="2"/>
        <v>30506233.717991296</v>
      </c>
      <c r="H96">
        <v>979820.09866799996</v>
      </c>
    </row>
    <row r="97" spans="1:8" x14ac:dyDescent="0.3">
      <c r="A97" s="1" t="s">
        <v>10</v>
      </c>
      <c r="B97">
        <v>6.1274779396675561</v>
      </c>
      <c r="C97">
        <v>28996.915241644845</v>
      </c>
      <c r="D97" s="16">
        <v>60762169</v>
      </c>
      <c r="E97">
        <v>102.43</v>
      </c>
      <c r="F97">
        <v>103.29</v>
      </c>
      <c r="G97" s="8">
        <f t="shared" si="2"/>
        <v>28996915.241644844</v>
      </c>
      <c r="H97">
        <v>6128135.1727919998</v>
      </c>
    </row>
    <row r="98" spans="1:8" x14ac:dyDescent="0.3">
      <c r="A98" s="1" t="s">
        <v>11</v>
      </c>
      <c r="B98">
        <v>4.0395658126957397</v>
      </c>
      <c r="C98">
        <v>57966.674408701554</v>
      </c>
      <c r="D98" s="16">
        <v>4468302</v>
      </c>
      <c r="E98">
        <v>69.86</v>
      </c>
      <c r="F98">
        <v>62.19</v>
      </c>
      <c r="G98" s="8">
        <f t="shared" si="2"/>
        <v>57966674.408701554</v>
      </c>
      <c r="H98">
        <v>247723.28449200001</v>
      </c>
    </row>
    <row r="99" spans="1:8" x14ac:dyDescent="0.3">
      <c r="A99" s="1" t="s">
        <v>12</v>
      </c>
      <c r="B99">
        <v>5.3501278184023828</v>
      </c>
      <c r="C99">
        <v>2180212.3761892966</v>
      </c>
      <c r="D99" s="16">
        <v>10210971</v>
      </c>
      <c r="E99">
        <v>75.55</v>
      </c>
      <c r="F99">
        <v>122.75</v>
      </c>
      <c r="G99" s="8">
        <f t="shared" si="2"/>
        <v>2180212376.1892967</v>
      </c>
      <c r="H99">
        <v>654685.98040799994</v>
      </c>
    </row>
    <row r="100" spans="1:8" x14ac:dyDescent="0.3">
      <c r="A100" s="1" t="s">
        <v>13</v>
      </c>
      <c r="B100">
        <v>11.200539055507054</v>
      </c>
      <c r="C100">
        <v>33258.078174645889</v>
      </c>
      <c r="D100" s="16">
        <v>3805174</v>
      </c>
      <c r="E100">
        <v>96.97</v>
      </c>
      <c r="F100">
        <v>91.55</v>
      </c>
      <c r="G100" s="8">
        <f t="shared" si="2"/>
        <v>33258078.17464589</v>
      </c>
      <c r="H100">
        <v>421836.26104800001</v>
      </c>
    </row>
    <row r="101" spans="1:8" x14ac:dyDescent="0.3">
      <c r="A101" s="1" t="s">
        <v>14</v>
      </c>
      <c r="B101">
        <v>7.6621680391600533</v>
      </c>
      <c r="C101">
        <v>27430.216019373573</v>
      </c>
      <c r="D101" s="16">
        <v>56942108</v>
      </c>
      <c r="E101">
        <v>116.25</v>
      </c>
      <c r="F101">
        <v>114.39</v>
      </c>
      <c r="G101" s="8">
        <f t="shared" si="2"/>
        <v>27430216.019373573</v>
      </c>
      <c r="H101">
        <v>5041057.7991960002</v>
      </c>
    </row>
    <row r="102" spans="1:8" x14ac:dyDescent="0.3">
      <c r="A102" s="1" t="s">
        <v>15</v>
      </c>
      <c r="B102">
        <v>3.0032552887011303</v>
      </c>
      <c r="C102">
        <v>5234.4769455479245</v>
      </c>
      <c r="D102" s="16">
        <v>3499536</v>
      </c>
      <c r="E102">
        <v>68.47</v>
      </c>
      <c r="F102">
        <v>100.06</v>
      </c>
      <c r="G102" s="8">
        <f t="shared" si="2"/>
        <v>5234476.9455479244</v>
      </c>
      <c r="H102">
        <v>156495.00589199999</v>
      </c>
    </row>
    <row r="103" spans="1:8" x14ac:dyDescent="0.3">
      <c r="A103" s="1" t="s">
        <v>16</v>
      </c>
      <c r="B103">
        <v>19.665367866147147</v>
      </c>
      <c r="C103">
        <v>72638.782919566816</v>
      </c>
      <c r="D103" s="16">
        <v>436300</v>
      </c>
      <c r="E103">
        <v>112.82</v>
      </c>
      <c r="F103">
        <v>80.48</v>
      </c>
      <c r="G103" s="8">
        <f t="shared" si="2"/>
        <v>72638782.91956681</v>
      </c>
      <c r="H103">
        <v>133995.352032</v>
      </c>
    </row>
    <row r="104" spans="1:8" x14ac:dyDescent="0.3">
      <c r="A104" s="1" t="s">
        <v>17</v>
      </c>
      <c r="B104">
        <v>2.9270765136955923</v>
      </c>
      <c r="C104">
        <v>5290.6602528246503</v>
      </c>
      <c r="D104" s="16">
        <v>2367550</v>
      </c>
      <c r="E104">
        <v>50.44</v>
      </c>
      <c r="F104">
        <v>79.36</v>
      </c>
      <c r="G104" s="8">
        <f t="shared" si="2"/>
        <v>5290660.2528246501</v>
      </c>
      <c r="H104">
        <v>135110.58994800001</v>
      </c>
    </row>
    <row r="105" spans="1:8" x14ac:dyDescent="0.3">
      <c r="A105" s="1" t="s">
        <v>18</v>
      </c>
      <c r="B105">
        <v>5.4603203900668316</v>
      </c>
      <c r="C105">
        <v>13749.082912477215</v>
      </c>
      <c r="D105" s="16">
        <v>390087</v>
      </c>
      <c r="E105">
        <v>96.53</v>
      </c>
      <c r="F105">
        <v>127.6</v>
      </c>
      <c r="G105" s="8">
        <f t="shared" si="2"/>
        <v>13749082.912477216</v>
      </c>
      <c r="H105">
        <v>13289.782428</v>
      </c>
    </row>
    <row r="106" spans="1:8" x14ac:dyDescent="0.3">
      <c r="A106" s="1" t="s">
        <v>19</v>
      </c>
      <c r="B106">
        <v>10.191194468900312</v>
      </c>
      <c r="C106">
        <v>35060.674305946057</v>
      </c>
      <c r="D106" s="16">
        <v>15925513</v>
      </c>
      <c r="E106">
        <v>108.39</v>
      </c>
      <c r="F106">
        <v>93.58</v>
      </c>
      <c r="G106" s="8">
        <f t="shared" si="2"/>
        <v>35060674.30594606</v>
      </c>
      <c r="H106">
        <v>2011795.0393320001</v>
      </c>
    </row>
    <row r="107" spans="1:8" x14ac:dyDescent="0.3">
      <c r="A107" s="1" t="s">
        <v>20</v>
      </c>
      <c r="B107">
        <v>7.7292367167678693</v>
      </c>
      <c r="C107">
        <v>25767.101630273788</v>
      </c>
      <c r="D107" s="16">
        <v>38258629</v>
      </c>
      <c r="E107">
        <v>102.12</v>
      </c>
      <c r="F107">
        <v>83.54</v>
      </c>
      <c r="G107" s="8">
        <f t="shared" si="2"/>
        <v>25767101.630273789</v>
      </c>
      <c r="H107">
        <v>2236322.4469920001</v>
      </c>
    </row>
    <row r="108" spans="1:8" x14ac:dyDescent="0.3">
      <c r="A108" s="1" t="s">
        <v>21</v>
      </c>
      <c r="B108">
        <v>5.992284860355273</v>
      </c>
      <c r="C108">
        <v>16231.579172195876</v>
      </c>
      <c r="D108" s="16">
        <v>10289898</v>
      </c>
      <c r="E108">
        <v>86.08</v>
      </c>
      <c r="F108">
        <v>103.01</v>
      </c>
      <c r="G108" s="8">
        <f t="shared" si="2"/>
        <v>16231579.172195876</v>
      </c>
      <c r="H108">
        <v>710306.86478399998</v>
      </c>
    </row>
    <row r="109" spans="1:8" x14ac:dyDescent="0.3">
      <c r="A109" s="1" t="s">
        <v>22</v>
      </c>
      <c r="B109">
        <v>3.9602599851864531</v>
      </c>
      <c r="C109">
        <v>15569.091818191095</v>
      </c>
      <c r="D109" s="16">
        <v>22442971</v>
      </c>
      <c r="E109">
        <v>69.58</v>
      </c>
      <c r="F109">
        <v>103.91</v>
      </c>
      <c r="G109" s="8">
        <f t="shared" si="2"/>
        <v>15569091.818191094</v>
      </c>
      <c r="H109">
        <v>916492.86460800003</v>
      </c>
    </row>
    <row r="110" spans="1:8" x14ac:dyDescent="0.3">
      <c r="A110" s="1" t="s">
        <v>23</v>
      </c>
      <c r="B110">
        <v>9.0014836181046718</v>
      </c>
      <c r="C110">
        <v>323918.17528283299</v>
      </c>
      <c r="D110" s="16">
        <v>8872109</v>
      </c>
      <c r="E110">
        <v>91.66</v>
      </c>
      <c r="F110">
        <v>106.25</v>
      </c>
      <c r="G110" s="8">
        <f t="shared" si="2"/>
        <v>323918175.28283298</v>
      </c>
      <c r="H110">
        <v>184572.23097599999</v>
      </c>
    </row>
    <row r="111" spans="1:8" x14ac:dyDescent="0.3">
      <c r="A111" s="1" t="s">
        <v>24</v>
      </c>
      <c r="B111">
        <v>7.0647574934307222</v>
      </c>
      <c r="C111">
        <v>13985.823326671441</v>
      </c>
      <c r="D111" s="16">
        <v>1988925</v>
      </c>
      <c r="E111">
        <v>113.76</v>
      </c>
      <c r="F111">
        <v>98.58</v>
      </c>
      <c r="G111" s="8">
        <f t="shared" si="2"/>
        <v>13985823.326671442</v>
      </c>
      <c r="H111">
        <v>421065.63864000002</v>
      </c>
    </row>
    <row r="112" spans="1:8" x14ac:dyDescent="0.3">
      <c r="A112" s="1" t="s">
        <v>25</v>
      </c>
      <c r="B112">
        <v>7.310481792928341</v>
      </c>
      <c r="C112">
        <v>7796.1580153266441</v>
      </c>
      <c r="D112" s="16">
        <v>5388720</v>
      </c>
      <c r="E112">
        <v>72.900000000000006</v>
      </c>
      <c r="F112">
        <v>165.77</v>
      </c>
      <c r="G112" s="8">
        <f t="shared" si="2"/>
        <v>7796158.0153266443</v>
      </c>
      <c r="H112">
        <v>1405377.336348</v>
      </c>
    </row>
    <row r="113" spans="1:8" x14ac:dyDescent="0.3">
      <c r="A113" s="1" t="s">
        <v>26</v>
      </c>
      <c r="B113">
        <v>6.0053364989091094</v>
      </c>
      <c r="C113">
        <v>27721.536900258667</v>
      </c>
      <c r="D113" s="16">
        <v>58892514</v>
      </c>
      <c r="E113">
        <v>98.95</v>
      </c>
      <c r="F113">
        <v>93.86</v>
      </c>
      <c r="G113" s="8">
        <f t="shared" si="2"/>
        <v>27721536.900258668</v>
      </c>
      <c r="H113">
        <v>5827733.8219079999</v>
      </c>
    </row>
    <row r="114" spans="1:8" x14ac:dyDescent="0.3">
      <c r="A114" s="13" t="s">
        <v>0</v>
      </c>
      <c r="B114">
        <v>8.4441091614045902</v>
      </c>
      <c r="C114">
        <v>31991.956999125741</v>
      </c>
      <c r="D114" s="16">
        <v>8042293</v>
      </c>
      <c r="E114">
        <v>104.79</v>
      </c>
      <c r="F114">
        <v>93.28</v>
      </c>
      <c r="G114" s="8">
        <f t="shared" si="2"/>
        <v>31991956.999125741</v>
      </c>
      <c r="H114">
        <v>978369.33059999999</v>
      </c>
    </row>
    <row r="115" spans="1:8" x14ac:dyDescent="0.3">
      <c r="A115" s="1" t="s">
        <v>1</v>
      </c>
      <c r="B115">
        <v>11.50432068220991</v>
      </c>
      <c r="C115">
        <v>30116.096937603113</v>
      </c>
      <c r="D115" s="16">
        <v>10286570</v>
      </c>
      <c r="E115">
        <v>84.94</v>
      </c>
      <c r="F115">
        <v>98.36</v>
      </c>
      <c r="G115" s="8">
        <f t="shared" si="2"/>
        <v>30116096.937603112</v>
      </c>
      <c r="H115">
        <v>1501271.5104720001</v>
      </c>
    </row>
    <row r="116" spans="1:8" x14ac:dyDescent="0.3">
      <c r="A116" s="1" t="s">
        <v>2</v>
      </c>
      <c r="B116">
        <v>5.7659110051988085</v>
      </c>
      <c r="C116">
        <v>6201.9656244933594</v>
      </c>
      <c r="D116" s="16">
        <v>8009142</v>
      </c>
      <c r="E116">
        <v>75.650000000000006</v>
      </c>
      <c r="F116">
        <v>112.14</v>
      </c>
      <c r="G116" s="8">
        <f t="shared" si="2"/>
        <v>6201965.6244933596</v>
      </c>
      <c r="H116">
        <v>358730.67618000001</v>
      </c>
    </row>
    <row r="117" spans="1:8" x14ac:dyDescent="0.3">
      <c r="A117" s="1" t="s">
        <v>3</v>
      </c>
      <c r="B117">
        <v>7.2166902363283807</v>
      </c>
      <c r="C117">
        <v>20701.137776105279</v>
      </c>
      <c r="D117" s="16">
        <v>701544</v>
      </c>
      <c r="E117">
        <v>169.73</v>
      </c>
      <c r="F117">
        <v>119.02</v>
      </c>
      <c r="G117" s="8">
        <f t="shared" si="2"/>
        <v>20701137.776105277</v>
      </c>
      <c r="H117">
        <v>57250.051992000001</v>
      </c>
    </row>
    <row r="118" spans="1:8" x14ac:dyDescent="0.3">
      <c r="A118" s="1" t="s">
        <v>4</v>
      </c>
      <c r="B118">
        <v>10.048923421605242</v>
      </c>
      <c r="C118">
        <v>294111.00067354075</v>
      </c>
      <c r="D118" s="16">
        <v>10216605</v>
      </c>
      <c r="E118">
        <v>96.34</v>
      </c>
      <c r="F118">
        <v>124.99</v>
      </c>
      <c r="G118" s="8">
        <f t="shared" si="2"/>
        <v>294111000.67354077</v>
      </c>
      <c r="H118">
        <v>1028910.203064</v>
      </c>
    </row>
    <row r="119" spans="1:8" ht="24" x14ac:dyDescent="0.3">
      <c r="A119" s="2" t="s">
        <v>5</v>
      </c>
      <c r="B119">
        <v>8.8942023536447543</v>
      </c>
      <c r="C119">
        <v>29074.87368986311</v>
      </c>
      <c r="D119" s="16">
        <v>82349925</v>
      </c>
      <c r="E119">
        <v>100.61</v>
      </c>
      <c r="F119">
        <v>89.87</v>
      </c>
      <c r="G119" s="8">
        <f t="shared" si="2"/>
        <v>29074873.689863112</v>
      </c>
      <c r="H119">
        <v>8812552.1925239991</v>
      </c>
    </row>
    <row r="120" spans="1:8" x14ac:dyDescent="0.3">
      <c r="A120" s="1" t="s">
        <v>6</v>
      </c>
      <c r="B120">
        <v>12.011818015867306</v>
      </c>
      <c r="C120">
        <v>315560.99416602612</v>
      </c>
      <c r="D120" s="16">
        <v>5358783</v>
      </c>
      <c r="E120">
        <v>89.27</v>
      </c>
      <c r="F120">
        <v>102.3</v>
      </c>
      <c r="G120" s="8">
        <f t="shared" si="2"/>
        <v>315560994.16602612</v>
      </c>
      <c r="H120">
        <v>599648.31727200001</v>
      </c>
    </row>
    <row r="121" spans="1:8" x14ac:dyDescent="0.3">
      <c r="A121" s="1" t="s">
        <v>7</v>
      </c>
      <c r="B121">
        <v>11.014937523187921</v>
      </c>
      <c r="C121">
        <v>8065.2564879257125</v>
      </c>
      <c r="D121" s="16">
        <v>1388115</v>
      </c>
      <c r="E121">
        <v>61.54</v>
      </c>
      <c r="F121">
        <v>86.21</v>
      </c>
      <c r="G121" s="8">
        <f t="shared" si="2"/>
        <v>8065256.487925712</v>
      </c>
      <c r="H121">
        <v>110451.38464800001</v>
      </c>
    </row>
    <row r="122" spans="1:8" x14ac:dyDescent="0.3">
      <c r="A122" s="1" t="s">
        <v>8</v>
      </c>
      <c r="B122">
        <v>10.291448352867352</v>
      </c>
      <c r="C122">
        <v>18051.49707421066</v>
      </c>
      <c r="D122" s="16">
        <v>10862132</v>
      </c>
      <c r="E122">
        <v>107.09</v>
      </c>
      <c r="F122">
        <v>110.15</v>
      </c>
      <c r="G122" s="8">
        <f t="shared" si="2"/>
        <v>18051497.074210659</v>
      </c>
      <c r="H122">
        <v>770227.80209999997</v>
      </c>
    </row>
    <row r="123" spans="1:8" x14ac:dyDescent="0.3">
      <c r="A123" s="1" t="s">
        <v>31</v>
      </c>
      <c r="B123">
        <v>7.2163286872112824</v>
      </c>
      <c r="C123">
        <v>22139.344147193424</v>
      </c>
      <c r="D123" s="16">
        <v>40850412</v>
      </c>
      <c r="E123">
        <v>93.68</v>
      </c>
      <c r="F123">
        <v>90.17</v>
      </c>
      <c r="G123" s="8">
        <f t="shared" si="2"/>
        <v>22139344.147193424</v>
      </c>
      <c r="H123">
        <v>3347284.0492079998</v>
      </c>
    </row>
    <row r="124" spans="1:8" x14ac:dyDescent="0.3">
      <c r="A124" s="1" t="s">
        <v>9</v>
      </c>
      <c r="B124">
        <v>11.775232420613076</v>
      </c>
      <c r="C124">
        <v>31231.261607341396</v>
      </c>
      <c r="D124" s="16">
        <v>5188008</v>
      </c>
      <c r="E124">
        <v>100.28</v>
      </c>
      <c r="F124">
        <v>97.47</v>
      </c>
      <c r="G124" s="8">
        <f t="shared" si="2"/>
        <v>31231261.607341394</v>
      </c>
      <c r="H124">
        <v>1001913.0467759999</v>
      </c>
    </row>
    <row r="125" spans="1:8" x14ac:dyDescent="0.3">
      <c r="A125" s="1" t="s">
        <v>10</v>
      </c>
      <c r="B125">
        <v>6.1420432328393408</v>
      </c>
      <c r="C125">
        <v>29359.767181859534</v>
      </c>
      <c r="D125" s="16">
        <v>61201676</v>
      </c>
      <c r="E125">
        <v>93.64</v>
      </c>
      <c r="F125">
        <v>104.22</v>
      </c>
      <c r="G125" s="8">
        <f t="shared" si="2"/>
        <v>29359767.181859534</v>
      </c>
      <c r="H125">
        <v>6355446.0906959996</v>
      </c>
    </row>
    <row r="126" spans="1:8" x14ac:dyDescent="0.3">
      <c r="A126" s="1" t="s">
        <v>11</v>
      </c>
      <c r="B126">
        <v>4.4654880569126458</v>
      </c>
      <c r="C126">
        <v>62055.636061884223</v>
      </c>
      <c r="D126" s="16">
        <v>4300450</v>
      </c>
      <c r="E126">
        <v>80.2</v>
      </c>
      <c r="F126">
        <v>69.099999999999994</v>
      </c>
      <c r="G126" s="8">
        <f t="shared" si="2"/>
        <v>62055636.061884224</v>
      </c>
      <c r="H126">
        <v>260201.162664</v>
      </c>
    </row>
    <row r="127" spans="1:8" x14ac:dyDescent="0.3">
      <c r="A127" s="1" t="s">
        <v>12</v>
      </c>
      <c r="B127">
        <v>5.5263391409300899</v>
      </c>
      <c r="C127">
        <v>2274246.8942295988</v>
      </c>
      <c r="D127" s="16">
        <v>10187576</v>
      </c>
      <c r="E127">
        <v>96.6</v>
      </c>
      <c r="F127">
        <v>116.61</v>
      </c>
      <c r="G127" s="8">
        <f t="shared" si="2"/>
        <v>2274246894.229599</v>
      </c>
      <c r="H127">
        <v>689210.16573600005</v>
      </c>
    </row>
    <row r="128" spans="1:8" x14ac:dyDescent="0.3">
      <c r="A128" s="1" t="s">
        <v>13</v>
      </c>
      <c r="B128">
        <v>11.615927917619249</v>
      </c>
      <c r="C128">
        <v>34469.056463008143</v>
      </c>
      <c r="D128" s="16">
        <v>3866243</v>
      </c>
      <c r="E128">
        <v>97.9</v>
      </c>
      <c r="F128">
        <v>92.94</v>
      </c>
      <c r="G128" s="8">
        <f t="shared" si="2"/>
        <v>34469056.463008143</v>
      </c>
      <c r="H128">
        <v>435793.92181199999</v>
      </c>
    </row>
    <row r="129" spans="1:8" x14ac:dyDescent="0.3">
      <c r="A129" s="1" t="s">
        <v>14</v>
      </c>
      <c r="B129">
        <v>7.6626045869965473</v>
      </c>
      <c r="C129">
        <v>27949.778322825634</v>
      </c>
      <c r="D129" s="16">
        <v>56974100</v>
      </c>
      <c r="E129">
        <v>113.24</v>
      </c>
      <c r="F129">
        <v>113.5</v>
      </c>
      <c r="G129" s="8">
        <f t="shared" si="2"/>
        <v>27949778.322825633</v>
      </c>
      <c r="H129">
        <v>5118429.6957240002</v>
      </c>
    </row>
    <row r="130" spans="1:8" x14ac:dyDescent="0.3">
      <c r="A130" s="1" t="s">
        <v>15</v>
      </c>
      <c r="B130">
        <v>3.2124991860708336</v>
      </c>
      <c r="C130">
        <v>5622.2216599403946</v>
      </c>
      <c r="D130" s="16">
        <v>3470818</v>
      </c>
      <c r="E130">
        <v>55.64</v>
      </c>
      <c r="F130">
        <v>90.11</v>
      </c>
      <c r="G130" s="8">
        <f t="shared" si="2"/>
        <v>5622221.6599403946</v>
      </c>
      <c r="H130">
        <v>162562.22337600001</v>
      </c>
    </row>
    <row r="131" spans="1:8" x14ac:dyDescent="0.3">
      <c r="A131" s="1" t="s">
        <v>16</v>
      </c>
      <c r="B131">
        <v>20.700979559481343</v>
      </c>
      <c r="C131">
        <v>73985.923396450933</v>
      </c>
      <c r="D131" s="16">
        <v>441525</v>
      </c>
      <c r="E131">
        <v>101.19</v>
      </c>
      <c r="F131">
        <v>86.04</v>
      </c>
      <c r="G131" s="8">
        <f t="shared" si="2"/>
        <v>73985923.396450937</v>
      </c>
      <c r="H131">
        <v>140060.39238</v>
      </c>
    </row>
    <row r="132" spans="1:8" x14ac:dyDescent="0.3">
      <c r="A132" s="1" t="s">
        <v>17</v>
      </c>
      <c r="B132">
        <v>3.1491076815122563</v>
      </c>
      <c r="C132">
        <v>5698.5908671880952</v>
      </c>
      <c r="D132" s="16">
        <v>2337170</v>
      </c>
      <c r="E132">
        <v>49.5</v>
      </c>
      <c r="F132">
        <v>78.7</v>
      </c>
      <c r="G132" s="8">
        <f t="shared" si="2"/>
        <v>5698590.8671880951</v>
      </c>
      <c r="H132">
        <v>148453.67034000001</v>
      </c>
    </row>
    <row r="133" spans="1:8" x14ac:dyDescent="0.3">
      <c r="A133" s="1" t="s">
        <v>18</v>
      </c>
      <c r="B133">
        <v>6.3354264836093108</v>
      </c>
      <c r="C133">
        <v>13485.898072815169</v>
      </c>
      <c r="D133" s="16">
        <v>393028</v>
      </c>
      <c r="E133">
        <v>88.43</v>
      </c>
      <c r="F133">
        <v>131.47999999999999</v>
      </c>
      <c r="G133" s="8">
        <f t="shared" si="2"/>
        <v>13485898.072815169</v>
      </c>
      <c r="H133">
        <v>12865.408380000001</v>
      </c>
    </row>
    <row r="134" spans="1:8" x14ac:dyDescent="0.3">
      <c r="A134" s="1" t="s">
        <v>19</v>
      </c>
      <c r="B134">
        <v>10.432389515760137</v>
      </c>
      <c r="C134">
        <v>35606.729637433949</v>
      </c>
      <c r="D134" s="16">
        <v>16046180</v>
      </c>
      <c r="E134">
        <v>101.28</v>
      </c>
      <c r="F134">
        <v>87.62</v>
      </c>
      <c r="G134" s="8">
        <f t="shared" si="2"/>
        <v>35606729.637433946</v>
      </c>
      <c r="H134">
        <v>2048359.5360359999</v>
      </c>
    </row>
    <row r="135" spans="1:8" x14ac:dyDescent="0.3">
      <c r="A135" s="1" t="s">
        <v>20</v>
      </c>
      <c r="B135">
        <v>7.6762031114976867</v>
      </c>
      <c r="C135">
        <v>26098.573824369363</v>
      </c>
      <c r="D135" s="16">
        <v>38248076</v>
      </c>
      <c r="E135">
        <v>104.16</v>
      </c>
      <c r="F135">
        <v>83.14</v>
      </c>
      <c r="G135" s="8">
        <f t="shared" si="2"/>
        <v>26098573.824369363</v>
      </c>
      <c r="H135">
        <v>2261305.8780840002</v>
      </c>
    </row>
    <row r="136" spans="1:8" x14ac:dyDescent="0.3">
      <c r="A136" s="1" t="s">
        <v>21</v>
      </c>
      <c r="B136">
        <v>5.9231541674089101</v>
      </c>
      <c r="C136">
        <v>16430.783433523549</v>
      </c>
      <c r="D136" s="16">
        <v>10362722</v>
      </c>
      <c r="E136">
        <v>87.94</v>
      </c>
      <c r="F136">
        <v>100.84</v>
      </c>
      <c r="G136" s="8">
        <f t="shared" si="2"/>
        <v>16430783.433523549</v>
      </c>
      <c r="H136">
        <v>722797.59643200005</v>
      </c>
    </row>
    <row r="137" spans="1:8" x14ac:dyDescent="0.3">
      <c r="A137" s="1" t="s">
        <v>22</v>
      </c>
      <c r="B137">
        <v>4.2522197526925982</v>
      </c>
      <c r="C137">
        <v>16611.709229047392</v>
      </c>
      <c r="D137" s="16">
        <v>22131970</v>
      </c>
      <c r="E137">
        <v>90.9</v>
      </c>
      <c r="F137">
        <v>102.8</v>
      </c>
      <c r="G137" s="8">
        <f t="shared" si="2"/>
        <v>16611709.229047392</v>
      </c>
      <c r="H137">
        <v>935424.36003600003</v>
      </c>
    </row>
    <row r="138" spans="1:8" x14ac:dyDescent="0.3">
      <c r="A138" s="1" t="s">
        <v>23</v>
      </c>
      <c r="B138">
        <v>9.2097938363089398</v>
      </c>
      <c r="C138">
        <v>327732.31792635081</v>
      </c>
      <c r="D138" s="16">
        <v>8895960</v>
      </c>
      <c r="E138">
        <v>88.82</v>
      </c>
      <c r="F138">
        <v>105.33</v>
      </c>
      <c r="G138" s="8">
        <f t="shared" si="2"/>
        <v>327732317.92635083</v>
      </c>
      <c r="H138">
        <v>190655.73511199999</v>
      </c>
    </row>
    <row r="139" spans="1:8" x14ac:dyDescent="0.3">
      <c r="A139" s="1" t="s">
        <v>24</v>
      </c>
      <c r="B139">
        <v>7.1725142116360194</v>
      </c>
      <c r="C139">
        <v>14412.967695250143</v>
      </c>
      <c r="D139" s="16">
        <v>1992060</v>
      </c>
      <c r="E139">
        <v>94.8</v>
      </c>
      <c r="F139">
        <v>118.6</v>
      </c>
      <c r="G139" s="8">
        <f t="shared" ref="G139:G202" si="3">C139*1000</f>
        <v>14412967.695250142</v>
      </c>
      <c r="H139">
        <v>440483.84956800001</v>
      </c>
    </row>
    <row r="140" spans="1:8" x14ac:dyDescent="0.3">
      <c r="A140" s="1" t="s">
        <v>25</v>
      </c>
      <c r="B140">
        <v>7.7206509844080999</v>
      </c>
      <c r="C140">
        <v>8064.5738594466093</v>
      </c>
      <c r="D140" s="16">
        <v>5378867</v>
      </c>
      <c r="E140">
        <v>88.43</v>
      </c>
      <c r="F140">
        <v>158.44999999999999</v>
      </c>
      <c r="G140" s="8">
        <f t="shared" si="3"/>
        <v>8064573.8594466094</v>
      </c>
      <c r="H140">
        <v>1379686.294188</v>
      </c>
    </row>
    <row r="141" spans="1:8" x14ac:dyDescent="0.3">
      <c r="A141" s="1" t="s">
        <v>26</v>
      </c>
      <c r="B141">
        <v>5.9015553127487079</v>
      </c>
      <c r="C141">
        <v>28187.385271904328</v>
      </c>
      <c r="D141" s="16">
        <v>59119673</v>
      </c>
      <c r="E141">
        <v>87.19</v>
      </c>
      <c r="F141">
        <v>89.11</v>
      </c>
      <c r="G141" s="8">
        <f t="shared" si="3"/>
        <v>28187385.271904327</v>
      </c>
      <c r="H141">
        <v>5891949.4530600002</v>
      </c>
    </row>
    <row r="142" spans="1:8" x14ac:dyDescent="0.3">
      <c r="A142" s="5" t="s">
        <v>0</v>
      </c>
      <c r="B142">
        <v>8.5833171346989339</v>
      </c>
      <c r="C142">
        <v>32360.720715393567</v>
      </c>
      <c r="D142" s="16">
        <v>8081957</v>
      </c>
      <c r="E142">
        <v>103.57</v>
      </c>
      <c r="F142">
        <v>92.96</v>
      </c>
      <c r="G142" s="8">
        <f t="shared" si="3"/>
        <v>32360720.715393566</v>
      </c>
      <c r="H142">
        <v>982292.40406800003</v>
      </c>
    </row>
    <row r="143" spans="1:8" x14ac:dyDescent="0.3">
      <c r="A143" s="1" t="s">
        <v>1</v>
      </c>
      <c r="B143">
        <v>10.727988630364418</v>
      </c>
      <c r="C143">
        <v>30493.145835295134</v>
      </c>
      <c r="D143" s="16">
        <v>10332785</v>
      </c>
      <c r="E143">
        <v>94</v>
      </c>
      <c r="F143">
        <v>98.26</v>
      </c>
      <c r="G143" s="8">
        <f t="shared" si="3"/>
        <v>30493145.835295133</v>
      </c>
      <c r="H143">
        <v>1417123.6549559999</v>
      </c>
    </row>
    <row r="144" spans="1:8" x14ac:dyDescent="0.3">
      <c r="A144" s="1" t="s">
        <v>2</v>
      </c>
      <c r="B144">
        <v>5.5670669519230236</v>
      </c>
      <c r="C144">
        <v>6710.2300734963837</v>
      </c>
      <c r="D144" s="16">
        <v>7837161</v>
      </c>
      <c r="E144">
        <v>80.88</v>
      </c>
      <c r="F144">
        <v>122.13</v>
      </c>
      <c r="G144" s="8">
        <f t="shared" si="3"/>
        <v>6710230.0734963836</v>
      </c>
      <c r="H144">
        <v>358101.31640399998</v>
      </c>
    </row>
    <row r="145" spans="1:8" x14ac:dyDescent="0.3">
      <c r="A145" s="1" t="s">
        <v>3</v>
      </c>
      <c r="B145">
        <v>7.2776181000810674</v>
      </c>
      <c r="C145">
        <v>21227.167678931273</v>
      </c>
      <c r="D145" s="16">
        <v>709630</v>
      </c>
      <c r="E145">
        <v>177.88</v>
      </c>
      <c r="F145">
        <v>123.38</v>
      </c>
      <c r="G145" s="8">
        <f t="shared" si="3"/>
        <v>21227167.678931274</v>
      </c>
      <c r="H145">
        <v>58345.235136000003</v>
      </c>
    </row>
    <row r="146" spans="1:8" x14ac:dyDescent="0.3">
      <c r="A146" s="1" t="s">
        <v>4</v>
      </c>
      <c r="B146">
        <v>10.041051494150503</v>
      </c>
      <c r="C146">
        <v>299304.9254166946</v>
      </c>
      <c r="D146" s="16">
        <v>10196916</v>
      </c>
      <c r="E146">
        <v>80.86</v>
      </c>
      <c r="F146">
        <v>120.58</v>
      </c>
      <c r="G146" s="8">
        <f t="shared" si="3"/>
        <v>299304925.41669458</v>
      </c>
      <c r="H146">
        <v>1003249.640808</v>
      </c>
    </row>
    <row r="147" spans="1:8" ht="24" x14ac:dyDescent="0.3">
      <c r="A147" s="2" t="s">
        <v>5</v>
      </c>
      <c r="B147">
        <v>8.8607416128861232</v>
      </c>
      <c r="C147">
        <v>28968.567715536577</v>
      </c>
      <c r="D147" s="16">
        <v>82488495</v>
      </c>
      <c r="E147">
        <v>91.73</v>
      </c>
      <c r="F147">
        <v>88.88</v>
      </c>
      <c r="G147" s="8">
        <f t="shared" si="3"/>
        <v>28968567.715536576</v>
      </c>
      <c r="H147">
        <v>8671255.2706320006</v>
      </c>
    </row>
    <row r="148" spans="1:8" x14ac:dyDescent="0.3">
      <c r="A148" s="1" t="s">
        <v>6</v>
      </c>
      <c r="B148">
        <v>11.624102816969366</v>
      </c>
      <c r="C148">
        <v>316021.3367693894</v>
      </c>
      <c r="D148" s="16">
        <v>5375931</v>
      </c>
      <c r="E148">
        <v>84.99</v>
      </c>
      <c r="F148">
        <v>103.81</v>
      </c>
      <c r="G148" s="8">
        <f t="shared" si="3"/>
        <v>316021336.76938939</v>
      </c>
      <c r="H148">
        <v>590297.68562400003</v>
      </c>
    </row>
    <row r="149" spans="1:8" x14ac:dyDescent="0.3">
      <c r="A149" s="1" t="s">
        <v>7</v>
      </c>
      <c r="B149">
        <v>10.773190270779715</v>
      </c>
      <c r="C149">
        <v>8666.1051488157445</v>
      </c>
      <c r="D149" s="16">
        <v>1379350</v>
      </c>
      <c r="E149">
        <v>53.87</v>
      </c>
      <c r="F149">
        <v>85.58</v>
      </c>
      <c r="G149" s="8">
        <f t="shared" si="3"/>
        <v>8666105.1488157436</v>
      </c>
      <c r="H149">
        <v>108683.801424</v>
      </c>
    </row>
    <row r="150" spans="1:8" x14ac:dyDescent="0.3">
      <c r="A150" s="1" t="s">
        <v>8</v>
      </c>
      <c r="B150">
        <v>10.100560084166888</v>
      </c>
      <c r="C150">
        <v>18690.99352618257</v>
      </c>
      <c r="D150" s="16">
        <v>10902022</v>
      </c>
      <c r="E150">
        <v>108</v>
      </c>
      <c r="F150">
        <v>111.17</v>
      </c>
      <c r="G150" s="8">
        <f t="shared" si="3"/>
        <v>18690993.52618257</v>
      </c>
      <c r="H150">
        <v>784884.49099199998</v>
      </c>
    </row>
    <row r="151" spans="1:8" x14ac:dyDescent="0.3">
      <c r="A151" s="1" t="s">
        <v>31</v>
      </c>
      <c r="B151">
        <v>7.5485937555136111</v>
      </c>
      <c r="C151">
        <v>22424.952766753544</v>
      </c>
      <c r="D151" s="16">
        <v>41431558</v>
      </c>
      <c r="E151">
        <v>91.93</v>
      </c>
      <c r="F151">
        <v>92.89</v>
      </c>
      <c r="G151" s="8">
        <f t="shared" si="3"/>
        <v>22424952.766753543</v>
      </c>
      <c r="H151">
        <v>3408736.6854360001</v>
      </c>
    </row>
    <row r="152" spans="1:8" x14ac:dyDescent="0.3">
      <c r="A152" s="1" t="s">
        <v>9</v>
      </c>
      <c r="B152">
        <v>12.198597161326447</v>
      </c>
      <c r="C152">
        <v>31687.528047307249</v>
      </c>
      <c r="D152" s="16">
        <v>5200598</v>
      </c>
      <c r="E152">
        <v>105.95</v>
      </c>
      <c r="F152">
        <v>99.59</v>
      </c>
      <c r="G152" s="8">
        <f t="shared" si="3"/>
        <v>31687528.047307249</v>
      </c>
      <c r="H152">
        <v>1027020.867696</v>
      </c>
    </row>
    <row r="153" spans="1:8" x14ac:dyDescent="0.3">
      <c r="A153" s="1" t="s">
        <v>10</v>
      </c>
      <c r="B153">
        <v>6.0054753263257536</v>
      </c>
      <c r="C153">
        <v>29480.064903044517</v>
      </c>
      <c r="D153" s="16">
        <v>61644062</v>
      </c>
      <c r="E153">
        <v>103.06</v>
      </c>
      <c r="F153">
        <v>105.23</v>
      </c>
      <c r="G153" s="8">
        <f t="shared" si="3"/>
        <v>29480064.903044518</v>
      </c>
      <c r="H153">
        <v>6224770.0755719999</v>
      </c>
    </row>
    <row r="154" spans="1:8" x14ac:dyDescent="0.3">
      <c r="A154" s="1" t="s">
        <v>11</v>
      </c>
      <c r="B154">
        <v>4.7138958117454104</v>
      </c>
      <c r="C154">
        <v>65530.482954214422</v>
      </c>
      <c r="D154" s="16">
        <v>4305439</v>
      </c>
      <c r="E154">
        <v>87.92</v>
      </c>
      <c r="F154">
        <v>67.819999999999993</v>
      </c>
      <c r="G154" s="8">
        <f t="shared" si="3"/>
        <v>65530482.954214424</v>
      </c>
      <c r="H154">
        <v>263807.79778800003</v>
      </c>
    </row>
    <row r="155" spans="1:8" x14ac:dyDescent="0.3">
      <c r="A155" s="1" t="s">
        <v>12</v>
      </c>
      <c r="B155">
        <v>5.4761439756313068</v>
      </c>
      <c r="C155">
        <v>2388868.0101420395</v>
      </c>
      <c r="D155" s="16">
        <v>10158608</v>
      </c>
      <c r="E155">
        <v>78.66</v>
      </c>
      <c r="F155">
        <v>120.73</v>
      </c>
      <c r="G155" s="8">
        <f t="shared" si="3"/>
        <v>2388868010.1420393</v>
      </c>
      <c r="H155">
        <v>691591.95252000005</v>
      </c>
    </row>
    <row r="156" spans="1:8" x14ac:dyDescent="0.3">
      <c r="A156" s="1" t="s">
        <v>13</v>
      </c>
      <c r="B156">
        <v>11.200557891548385</v>
      </c>
      <c r="C156">
        <v>35891.482067235396</v>
      </c>
      <c r="D156" s="16">
        <v>3931947</v>
      </c>
      <c r="E156">
        <v>92.81</v>
      </c>
      <c r="F156">
        <v>88.88</v>
      </c>
      <c r="G156" s="8">
        <f t="shared" si="3"/>
        <v>35891482.067235395</v>
      </c>
      <c r="H156">
        <v>435905.12322000001</v>
      </c>
    </row>
    <row r="157" spans="1:8" x14ac:dyDescent="0.3">
      <c r="A157" s="1" t="s">
        <v>14</v>
      </c>
      <c r="B157">
        <v>7.772129648172811</v>
      </c>
      <c r="C157">
        <v>27979.058374638378</v>
      </c>
      <c r="D157" s="16">
        <v>57059007</v>
      </c>
      <c r="E157">
        <v>107.89</v>
      </c>
      <c r="F157">
        <v>114.18</v>
      </c>
      <c r="G157" s="8">
        <f t="shared" si="3"/>
        <v>27979058.374638379</v>
      </c>
      <c r="H157">
        <v>5133114.9385919999</v>
      </c>
    </row>
    <row r="158" spans="1:8" x14ac:dyDescent="0.3">
      <c r="A158" s="1" t="s">
        <v>15</v>
      </c>
      <c r="B158">
        <v>3.2587225284898609</v>
      </c>
      <c r="C158">
        <v>6050.1756866520464</v>
      </c>
      <c r="D158" s="16">
        <v>3443067</v>
      </c>
      <c r="E158">
        <v>63.2</v>
      </c>
      <c r="F158">
        <v>95</v>
      </c>
      <c r="G158" s="8">
        <f t="shared" si="3"/>
        <v>6050175.6866520466</v>
      </c>
      <c r="H158">
        <v>169664.752764</v>
      </c>
    </row>
    <row r="159" spans="1:8" x14ac:dyDescent="0.3">
      <c r="A159" s="1" t="s">
        <v>16</v>
      </c>
      <c r="B159">
        <v>22.054126743990587</v>
      </c>
      <c r="C159">
        <v>75576.332129588161</v>
      </c>
      <c r="D159" s="16">
        <v>446175</v>
      </c>
      <c r="E159">
        <v>122.9</v>
      </c>
      <c r="F159">
        <v>85.72</v>
      </c>
      <c r="G159" s="8">
        <f t="shared" si="3"/>
        <v>75576332.129588157</v>
      </c>
      <c r="H159">
        <v>140233.18161599999</v>
      </c>
    </row>
    <row r="160" spans="1:8" x14ac:dyDescent="0.3">
      <c r="A160" s="1" t="s">
        <v>17</v>
      </c>
      <c r="B160">
        <v>3.1815799076519378</v>
      </c>
      <c r="C160">
        <v>6173.7690132695698</v>
      </c>
      <c r="D160" s="16">
        <v>2310173</v>
      </c>
      <c r="E160">
        <v>57.53</v>
      </c>
      <c r="F160">
        <v>75.95</v>
      </c>
      <c r="G160" s="8">
        <f t="shared" si="3"/>
        <v>6173769.0132695697</v>
      </c>
      <c r="H160">
        <v>150361.59510000001</v>
      </c>
    </row>
    <row r="161" spans="1:8" x14ac:dyDescent="0.3">
      <c r="A161" s="1" t="s">
        <v>18</v>
      </c>
      <c r="B161">
        <v>5.8590445211620104</v>
      </c>
      <c r="C161">
        <v>13729.112962871839</v>
      </c>
      <c r="D161" s="16">
        <v>395969</v>
      </c>
      <c r="E161">
        <v>91.2</v>
      </c>
      <c r="F161">
        <v>133.27000000000001</v>
      </c>
      <c r="G161" s="8">
        <f t="shared" si="3"/>
        <v>13729112.962871838</v>
      </c>
      <c r="H161">
        <v>11461.071924</v>
      </c>
    </row>
    <row r="162" spans="1:8" x14ac:dyDescent="0.3">
      <c r="A162" s="1" t="s">
        <v>19</v>
      </c>
      <c r="B162">
        <v>10.372204868818235</v>
      </c>
      <c r="C162">
        <v>35457.050420142412</v>
      </c>
      <c r="D162" s="16">
        <v>16148929</v>
      </c>
      <c r="E162">
        <v>96.18</v>
      </c>
      <c r="F162">
        <v>86.21</v>
      </c>
      <c r="G162" s="8">
        <f t="shared" si="3"/>
        <v>35457050.420142412</v>
      </c>
      <c r="H162">
        <v>2046529.778832</v>
      </c>
    </row>
    <row r="163" spans="1:8" x14ac:dyDescent="0.3">
      <c r="A163" s="1" t="s">
        <v>20</v>
      </c>
      <c r="B163">
        <v>7.5144458472851579</v>
      </c>
      <c r="C163">
        <v>26642.25225293696</v>
      </c>
      <c r="D163" s="16">
        <v>38230364</v>
      </c>
      <c r="E163">
        <v>95.64</v>
      </c>
      <c r="F163">
        <v>86.31</v>
      </c>
      <c r="G163" s="8">
        <f t="shared" si="3"/>
        <v>26642252.252936959</v>
      </c>
      <c r="H163">
        <v>2243913.1153919999</v>
      </c>
    </row>
    <row r="164" spans="1:8" x14ac:dyDescent="0.3">
      <c r="A164" s="1" t="s">
        <v>21</v>
      </c>
      <c r="B164">
        <v>6.2967680909237576</v>
      </c>
      <c r="C164">
        <v>16467.020308972555</v>
      </c>
      <c r="D164" s="16">
        <v>10419631</v>
      </c>
      <c r="E164">
        <v>88.92</v>
      </c>
      <c r="F164">
        <v>104.83</v>
      </c>
      <c r="G164" s="8">
        <f t="shared" si="3"/>
        <v>16467020.308972554</v>
      </c>
      <c r="H164">
        <v>743056.47493200004</v>
      </c>
    </row>
    <row r="165" spans="1:8" x14ac:dyDescent="0.3">
      <c r="A165" s="1" t="s">
        <v>22</v>
      </c>
      <c r="B165">
        <v>4.3068506121535384</v>
      </c>
      <c r="C165">
        <v>17883.476865185225</v>
      </c>
      <c r="D165" s="16">
        <v>21730496</v>
      </c>
      <c r="E165">
        <v>78.790000000000006</v>
      </c>
      <c r="F165">
        <v>108.79</v>
      </c>
      <c r="G165" s="8">
        <f t="shared" si="3"/>
        <v>17883476.865185224</v>
      </c>
      <c r="H165">
        <v>925789.02598799998</v>
      </c>
    </row>
    <row r="166" spans="1:8" x14ac:dyDescent="0.3">
      <c r="A166" s="1" t="s">
        <v>23</v>
      </c>
      <c r="B166">
        <v>8.930869498290555</v>
      </c>
      <c r="C166">
        <v>333844.11262738716</v>
      </c>
      <c r="D166" s="16">
        <v>8924958</v>
      </c>
      <c r="E166">
        <v>89.23</v>
      </c>
      <c r="F166">
        <v>105.71</v>
      </c>
      <c r="G166" s="8">
        <f t="shared" si="3"/>
        <v>333844112.62738717</v>
      </c>
      <c r="H166">
        <v>189818.50071600001</v>
      </c>
    </row>
    <row r="167" spans="1:8" x14ac:dyDescent="0.3">
      <c r="A167" s="1" t="s">
        <v>24</v>
      </c>
      <c r="B167">
        <v>7.0821319002431133</v>
      </c>
      <c r="C167">
        <v>14899.754084922264</v>
      </c>
      <c r="D167" s="16">
        <v>1994530</v>
      </c>
      <c r="E167">
        <v>117.45</v>
      </c>
      <c r="F167">
        <v>125.13</v>
      </c>
      <c r="G167" s="8">
        <f t="shared" si="3"/>
        <v>14899754.084922263</v>
      </c>
      <c r="H167">
        <v>443803.563288</v>
      </c>
    </row>
    <row r="168" spans="1:8" x14ac:dyDescent="0.3">
      <c r="A168" s="1" t="s">
        <v>25</v>
      </c>
      <c r="B168">
        <v>7.7812818057386952</v>
      </c>
      <c r="C168">
        <v>8431.3056267865268</v>
      </c>
      <c r="D168" s="16">
        <v>5376912</v>
      </c>
      <c r="E168">
        <v>87.69</v>
      </c>
      <c r="F168">
        <v>169.54</v>
      </c>
      <c r="G168" s="8">
        <f t="shared" si="3"/>
        <v>8431305.6267865263</v>
      </c>
      <c r="H168">
        <v>1379102.0262480001</v>
      </c>
    </row>
    <row r="169" spans="1:8" x14ac:dyDescent="0.3">
      <c r="A169" s="1" t="s">
        <v>26</v>
      </c>
      <c r="B169">
        <v>6.0526895476707008</v>
      </c>
      <c r="C169">
        <v>28664.262587472134</v>
      </c>
      <c r="D169" s="16">
        <v>59370479</v>
      </c>
      <c r="E169">
        <v>98.27</v>
      </c>
      <c r="F169">
        <v>91.65</v>
      </c>
      <c r="G169" s="8">
        <f t="shared" si="3"/>
        <v>28664262.587472133</v>
      </c>
      <c r="H169">
        <v>5738773.3235280002</v>
      </c>
    </row>
    <row r="170" spans="1:8" x14ac:dyDescent="0.3">
      <c r="A170" s="5" t="s">
        <v>0</v>
      </c>
      <c r="B170">
        <v>9.1683440204998554</v>
      </c>
      <c r="C170">
        <v>32506.650261647497</v>
      </c>
      <c r="D170" s="16">
        <v>8121423</v>
      </c>
      <c r="E170">
        <v>97.56</v>
      </c>
      <c r="F170">
        <v>92.36</v>
      </c>
      <c r="G170" s="8">
        <f t="shared" si="3"/>
        <v>32506650.261647496</v>
      </c>
      <c r="H170">
        <v>1038803.48586</v>
      </c>
    </row>
    <row r="171" spans="1:8" x14ac:dyDescent="0.3">
      <c r="A171" s="1" t="s">
        <v>1</v>
      </c>
      <c r="B171">
        <v>11.131314527290659</v>
      </c>
      <c r="C171">
        <v>30680.946954885796</v>
      </c>
      <c r="D171" s="16">
        <v>10376133</v>
      </c>
      <c r="E171">
        <v>93.45</v>
      </c>
      <c r="F171">
        <v>94.91</v>
      </c>
      <c r="G171" s="8">
        <f t="shared" si="3"/>
        <v>30680946.954885796</v>
      </c>
      <c r="H171">
        <v>1468020.5310239999</v>
      </c>
    </row>
    <row r="172" spans="1:8" x14ac:dyDescent="0.3">
      <c r="A172" s="1" t="s">
        <v>2</v>
      </c>
      <c r="B172">
        <v>6.1592264865516269</v>
      </c>
      <c r="C172">
        <v>7117.8136342880507</v>
      </c>
      <c r="D172" s="16">
        <v>7775327</v>
      </c>
      <c r="E172">
        <v>71.25</v>
      </c>
      <c r="F172">
        <v>115.42</v>
      </c>
      <c r="G172" s="8">
        <f t="shared" si="3"/>
        <v>7117813.6342880512</v>
      </c>
      <c r="H172">
        <v>382054.12480799999</v>
      </c>
    </row>
    <row r="173" spans="1:8" x14ac:dyDescent="0.3">
      <c r="A173" s="1" t="s">
        <v>3</v>
      </c>
      <c r="B173">
        <v>7.8203473965389181</v>
      </c>
      <c r="C173">
        <v>21520.870602681025</v>
      </c>
      <c r="D173" s="16">
        <v>718307</v>
      </c>
      <c r="E173">
        <v>169.43</v>
      </c>
      <c r="F173">
        <v>119.58</v>
      </c>
      <c r="G173" s="8">
        <f t="shared" si="3"/>
        <v>21520870.602681026</v>
      </c>
      <c r="H173">
        <v>61595.699183999997</v>
      </c>
    </row>
    <row r="174" spans="1:8" x14ac:dyDescent="0.3">
      <c r="A174" s="1" t="s">
        <v>4</v>
      </c>
      <c r="B174">
        <v>11.008104146237489</v>
      </c>
      <c r="C174">
        <v>310119.82691154146</v>
      </c>
      <c r="D174" s="16">
        <v>10193998</v>
      </c>
      <c r="E174">
        <v>67.930000000000007</v>
      </c>
      <c r="F174">
        <v>118.34</v>
      </c>
      <c r="G174" s="8">
        <f t="shared" si="3"/>
        <v>310119826.91154146</v>
      </c>
      <c r="H174">
        <v>1047597.6917880001</v>
      </c>
    </row>
    <row r="175" spans="1:8" ht="24" x14ac:dyDescent="0.3">
      <c r="A175" s="2" t="s">
        <v>5</v>
      </c>
      <c r="B175">
        <v>9.1708782978147099</v>
      </c>
      <c r="C175">
        <v>28749.832675225349</v>
      </c>
      <c r="D175" s="16">
        <v>82534176</v>
      </c>
      <c r="E175">
        <v>81.790000000000006</v>
      </c>
      <c r="F175">
        <v>89.08</v>
      </c>
      <c r="G175" s="8">
        <f t="shared" si="3"/>
        <v>28749832.675225347</v>
      </c>
      <c r="H175">
        <v>8839115.9312759992</v>
      </c>
    </row>
    <row r="176" spans="1:8" x14ac:dyDescent="0.3">
      <c r="A176" s="1" t="s">
        <v>6</v>
      </c>
      <c r="B176">
        <v>12.043361201365745</v>
      </c>
      <c r="C176">
        <v>316392.21351937659</v>
      </c>
      <c r="D176" s="16">
        <v>5390574</v>
      </c>
      <c r="E176">
        <v>88.22</v>
      </c>
      <c r="F176">
        <v>103.81</v>
      </c>
      <c r="G176" s="8">
        <f t="shared" si="3"/>
        <v>316392213.51937658</v>
      </c>
      <c r="H176">
        <v>603211.99582800001</v>
      </c>
    </row>
    <row r="177" spans="1:8" x14ac:dyDescent="0.3">
      <c r="A177" s="1" t="s">
        <v>7</v>
      </c>
      <c r="B177">
        <v>12.278218746352282</v>
      </c>
      <c r="C177">
        <v>9383.4603853259614</v>
      </c>
      <c r="D177" s="16">
        <v>1370720</v>
      </c>
      <c r="E177">
        <v>53.1</v>
      </c>
      <c r="F177">
        <v>83.22</v>
      </c>
      <c r="G177" s="8">
        <f t="shared" si="3"/>
        <v>9383460.3853259608</v>
      </c>
      <c r="H177">
        <v>113969.51082</v>
      </c>
    </row>
    <row r="178" spans="1:8" x14ac:dyDescent="0.3">
      <c r="A178" s="1" t="s">
        <v>8</v>
      </c>
      <c r="B178">
        <v>10.135801198281788</v>
      </c>
      <c r="C178">
        <v>19726.915832905539</v>
      </c>
      <c r="D178" s="16">
        <v>10928070</v>
      </c>
      <c r="E178">
        <v>99.29</v>
      </c>
      <c r="F178">
        <v>115.41</v>
      </c>
      <c r="G178" s="8">
        <f t="shared" si="3"/>
        <v>19726915.832905538</v>
      </c>
      <c r="H178">
        <v>826973.26095599995</v>
      </c>
    </row>
    <row r="179" spans="1:8" x14ac:dyDescent="0.3">
      <c r="A179" s="1" t="s">
        <v>31</v>
      </c>
      <c r="B179">
        <v>7.5533962609195182</v>
      </c>
      <c r="C179">
        <v>22679.7570219345</v>
      </c>
      <c r="D179" s="16">
        <v>42187645</v>
      </c>
      <c r="E179">
        <v>104.82</v>
      </c>
      <c r="F179">
        <v>94.84</v>
      </c>
      <c r="G179" s="8">
        <f t="shared" si="3"/>
        <v>22679757.021934498</v>
      </c>
      <c r="H179">
        <v>3630282.7146839998</v>
      </c>
    </row>
    <row r="180" spans="1:8" x14ac:dyDescent="0.3">
      <c r="A180" s="1" t="s">
        <v>9</v>
      </c>
      <c r="B180">
        <v>13.755957685899174</v>
      </c>
      <c r="C180">
        <v>32245.494263082732</v>
      </c>
      <c r="D180" s="16">
        <v>5213014</v>
      </c>
      <c r="E180">
        <v>98.86</v>
      </c>
      <c r="F180">
        <v>100.67</v>
      </c>
      <c r="G180" s="8">
        <f t="shared" si="3"/>
        <v>32245494.263082732</v>
      </c>
      <c r="H180">
        <v>1041126.699312</v>
      </c>
    </row>
    <row r="181" spans="1:8" x14ac:dyDescent="0.3">
      <c r="A181" s="1" t="s">
        <v>10</v>
      </c>
      <c r="B181">
        <v>6.054152566444019</v>
      </c>
      <c r="C181">
        <v>29514.886761933121</v>
      </c>
      <c r="D181" s="16">
        <v>62078165</v>
      </c>
      <c r="E181">
        <v>89.8</v>
      </c>
      <c r="F181">
        <v>103.27</v>
      </c>
      <c r="G181" s="8">
        <f t="shared" si="3"/>
        <v>29514886.761933122</v>
      </c>
      <c r="H181">
        <v>6346281.3948360002</v>
      </c>
    </row>
    <row r="182" spans="1:8" x14ac:dyDescent="0.3">
      <c r="A182" s="1" t="s">
        <v>11</v>
      </c>
      <c r="B182">
        <v>5.0216119862462207</v>
      </c>
      <c r="C182">
        <v>69149.799439445094</v>
      </c>
      <c r="D182" s="16">
        <v>4305555</v>
      </c>
      <c r="E182">
        <v>63.36</v>
      </c>
      <c r="F182">
        <v>69.709999999999994</v>
      </c>
      <c r="G182" s="8">
        <f t="shared" si="3"/>
        <v>69149799.439445093</v>
      </c>
      <c r="H182">
        <v>282139.36664399999</v>
      </c>
    </row>
    <row r="183" spans="1:8" x14ac:dyDescent="0.3">
      <c r="A183" s="1" t="s">
        <v>12</v>
      </c>
      <c r="B183">
        <v>5.7485266870637517</v>
      </c>
      <c r="C183">
        <v>2493574.0879014195</v>
      </c>
      <c r="D183" s="16">
        <v>10129552</v>
      </c>
      <c r="E183">
        <v>70.5</v>
      </c>
      <c r="F183">
        <v>113.32</v>
      </c>
      <c r="G183" s="8">
        <f t="shared" si="3"/>
        <v>2493574087.9014196</v>
      </c>
      <c r="H183">
        <v>722138.00795999996</v>
      </c>
    </row>
    <row r="184" spans="1:8" x14ac:dyDescent="0.3">
      <c r="A184" s="1" t="s">
        <v>13</v>
      </c>
      <c r="B184">
        <v>11.064623456251073</v>
      </c>
      <c r="C184">
        <v>36374.384209190946</v>
      </c>
      <c r="D184" s="16">
        <v>3996521</v>
      </c>
      <c r="E184">
        <v>97.94</v>
      </c>
      <c r="F184">
        <v>89.81</v>
      </c>
      <c r="G184" s="8">
        <f t="shared" si="3"/>
        <v>36374384.20919095</v>
      </c>
      <c r="H184">
        <v>450561.05848800001</v>
      </c>
    </row>
    <row r="185" spans="1:8" x14ac:dyDescent="0.3">
      <c r="A185" s="1" t="s">
        <v>14</v>
      </c>
      <c r="B185">
        <v>8.0644594230756912</v>
      </c>
      <c r="C185">
        <v>27893.579892093974</v>
      </c>
      <c r="D185" s="16">
        <v>57313203</v>
      </c>
      <c r="E185">
        <v>104.11</v>
      </c>
      <c r="F185">
        <v>110.41</v>
      </c>
      <c r="G185" s="8">
        <f t="shared" si="3"/>
        <v>27893579.892093975</v>
      </c>
      <c r="H185">
        <v>5405876.333784</v>
      </c>
    </row>
    <row r="186" spans="1:8" x14ac:dyDescent="0.3">
      <c r="A186" s="1" t="s">
        <v>15</v>
      </c>
      <c r="B186">
        <v>3.2882282891286723</v>
      </c>
      <c r="C186">
        <v>6743.9925406201601</v>
      </c>
      <c r="D186" s="16">
        <v>3415213</v>
      </c>
      <c r="E186">
        <v>65.3</v>
      </c>
      <c r="F186">
        <v>95.46</v>
      </c>
      <c r="G186" s="8">
        <f t="shared" si="3"/>
        <v>6743992.5406201603</v>
      </c>
      <c r="H186">
        <v>174764.65197599999</v>
      </c>
    </row>
    <row r="187" spans="1:8" x14ac:dyDescent="0.3">
      <c r="A187" s="1" t="s">
        <v>16</v>
      </c>
      <c r="B187">
        <v>22.717711400925538</v>
      </c>
      <c r="C187">
        <v>76619.204917509909</v>
      </c>
      <c r="D187" s="16">
        <v>451630</v>
      </c>
      <c r="E187">
        <v>107.51</v>
      </c>
      <c r="F187">
        <v>86.65</v>
      </c>
      <c r="G187" s="8">
        <f t="shared" si="3"/>
        <v>76619204.917509913</v>
      </c>
      <c r="H187">
        <v>149752.29009600001</v>
      </c>
    </row>
    <row r="188" spans="1:8" x14ac:dyDescent="0.3">
      <c r="A188" s="1" t="s">
        <v>17</v>
      </c>
      <c r="B188">
        <v>3.3173729378418719</v>
      </c>
      <c r="C188">
        <v>6758.7564340076615</v>
      </c>
      <c r="D188" s="16">
        <v>2287955</v>
      </c>
      <c r="E188">
        <v>55.04</v>
      </c>
      <c r="F188">
        <v>79.3</v>
      </c>
      <c r="G188" s="8">
        <f t="shared" si="3"/>
        <v>6758756.4340076614</v>
      </c>
      <c r="H188">
        <v>157440.59467200001</v>
      </c>
    </row>
    <row r="189" spans="1:8" x14ac:dyDescent="0.3">
      <c r="A189" s="1" t="s">
        <v>18</v>
      </c>
      <c r="B189">
        <v>6.548213416561711</v>
      </c>
      <c r="C189">
        <v>14194.774963872178</v>
      </c>
      <c r="D189" s="16">
        <v>398582</v>
      </c>
      <c r="E189">
        <v>87.95</v>
      </c>
      <c r="F189">
        <v>132.03</v>
      </c>
      <c r="G189" s="8">
        <f t="shared" si="3"/>
        <v>14194774.963872178</v>
      </c>
      <c r="H189">
        <v>13187.582640000001</v>
      </c>
    </row>
    <row r="190" spans="1:8" x14ac:dyDescent="0.3">
      <c r="A190" s="1" t="s">
        <v>19</v>
      </c>
      <c r="B190">
        <v>10.505813697643347</v>
      </c>
      <c r="C190">
        <v>35345.080716540127</v>
      </c>
      <c r="D190" s="16">
        <v>16225302</v>
      </c>
      <c r="E190">
        <v>93.38</v>
      </c>
      <c r="F190">
        <v>79.64</v>
      </c>
      <c r="G190" s="8">
        <f t="shared" si="3"/>
        <v>35345080.716540128</v>
      </c>
      <c r="H190">
        <v>2080159.8730200001</v>
      </c>
    </row>
    <row r="191" spans="1:8" x14ac:dyDescent="0.3">
      <c r="A191" s="1" t="s">
        <v>20</v>
      </c>
      <c r="B191">
        <v>7.7922615016999268</v>
      </c>
      <c r="C191">
        <v>27592.92073389388</v>
      </c>
      <c r="D191" s="16">
        <v>38204570</v>
      </c>
      <c r="E191">
        <v>87.6</v>
      </c>
      <c r="F191">
        <v>88.55</v>
      </c>
      <c r="G191" s="8">
        <f t="shared" si="3"/>
        <v>27592920.733893879</v>
      </c>
      <c r="H191">
        <v>2307369.512232</v>
      </c>
    </row>
    <row r="192" spans="1:8" x14ac:dyDescent="0.3">
      <c r="A192" s="1" t="s">
        <v>21</v>
      </c>
      <c r="B192">
        <v>5.7865030867245935</v>
      </c>
      <c r="C192">
        <v>16252.662185203286</v>
      </c>
      <c r="D192" s="16">
        <v>10458821</v>
      </c>
      <c r="E192">
        <v>87.63</v>
      </c>
      <c r="F192">
        <v>99.47</v>
      </c>
      <c r="G192" s="8">
        <f t="shared" si="3"/>
        <v>16252662.185203286</v>
      </c>
      <c r="H192">
        <v>739756.22983199998</v>
      </c>
    </row>
    <row r="193" spans="1:8" x14ac:dyDescent="0.3">
      <c r="A193" s="1" t="s">
        <v>22</v>
      </c>
      <c r="B193">
        <v>4.6175254791273659</v>
      </c>
      <c r="C193">
        <v>18434.639137695423</v>
      </c>
      <c r="D193" s="16">
        <v>21574326</v>
      </c>
      <c r="E193">
        <v>86.76</v>
      </c>
      <c r="F193">
        <v>119.21</v>
      </c>
      <c r="G193" s="8">
        <f t="shared" si="3"/>
        <v>18434639.137695424</v>
      </c>
      <c r="H193">
        <v>967894.29194400006</v>
      </c>
    </row>
    <row r="194" spans="1:8" x14ac:dyDescent="0.3">
      <c r="A194" s="1" t="s">
        <v>23</v>
      </c>
      <c r="B194">
        <v>9.0880472814511819</v>
      </c>
      <c r="C194">
        <v>340286.73774642288</v>
      </c>
      <c r="D194" s="16">
        <v>8958229</v>
      </c>
      <c r="E194">
        <v>86.68</v>
      </c>
      <c r="F194">
        <v>104.33</v>
      </c>
      <c r="G194" s="8">
        <f t="shared" si="3"/>
        <v>340286737.74642289</v>
      </c>
      <c r="H194">
        <v>195136.32286799999</v>
      </c>
    </row>
    <row r="195" spans="1:8" x14ac:dyDescent="0.3">
      <c r="A195" s="1" t="s">
        <v>24</v>
      </c>
      <c r="B195">
        <v>7.1351817312548871</v>
      </c>
      <c r="C195">
        <v>15331.578337382807</v>
      </c>
      <c r="D195" s="16">
        <v>1995733</v>
      </c>
      <c r="E195">
        <v>89.01</v>
      </c>
      <c r="F195">
        <v>125.6</v>
      </c>
      <c r="G195" s="8">
        <f t="shared" si="3"/>
        <v>15331578.337382806</v>
      </c>
      <c r="H195">
        <v>422447.49197999999</v>
      </c>
    </row>
    <row r="196" spans="1:8" x14ac:dyDescent="0.3">
      <c r="A196" s="1" t="s">
        <v>25</v>
      </c>
      <c r="B196">
        <v>7.7264844545838542</v>
      </c>
      <c r="C196">
        <v>8900.8069246216619</v>
      </c>
      <c r="D196" s="16">
        <v>5373374</v>
      </c>
      <c r="E196">
        <v>74.319999999999993</v>
      </c>
      <c r="F196">
        <v>168.56</v>
      </c>
      <c r="G196" s="8">
        <f t="shared" si="3"/>
        <v>8900806.9246216621</v>
      </c>
      <c r="H196">
        <v>1372073.18454</v>
      </c>
    </row>
    <row r="197" spans="1:8" x14ac:dyDescent="0.3">
      <c r="A197" s="1" t="s">
        <v>26</v>
      </c>
      <c r="B197">
        <v>6.1619322301316473</v>
      </c>
      <c r="C197">
        <v>29395.561197733146</v>
      </c>
      <c r="D197" s="16">
        <v>59647577</v>
      </c>
      <c r="E197">
        <v>93.32</v>
      </c>
      <c r="F197">
        <v>91.33</v>
      </c>
      <c r="G197" s="8">
        <f t="shared" si="3"/>
        <v>29395561.197733145</v>
      </c>
      <c r="H197">
        <v>5784580.4743079999</v>
      </c>
    </row>
    <row r="198" spans="1:8" x14ac:dyDescent="0.3">
      <c r="A198" s="5" t="s">
        <v>0</v>
      </c>
      <c r="B198">
        <v>9.2756137262440888</v>
      </c>
      <c r="C198">
        <v>33189.19602782611</v>
      </c>
      <c r="D198" s="16">
        <v>8171966</v>
      </c>
      <c r="E198">
        <v>112.92</v>
      </c>
      <c r="F198">
        <v>91.54</v>
      </c>
      <c r="G198" s="8">
        <f t="shared" si="3"/>
        <v>33189196.027826112</v>
      </c>
      <c r="H198">
        <v>1051952.005656</v>
      </c>
    </row>
    <row r="199" spans="1:8" x14ac:dyDescent="0.3">
      <c r="A199" s="1" t="s">
        <v>1</v>
      </c>
      <c r="B199">
        <v>10.941224551601231</v>
      </c>
      <c r="C199">
        <v>31639.397929247072</v>
      </c>
      <c r="D199" s="16">
        <v>10421137</v>
      </c>
      <c r="E199">
        <v>104.21</v>
      </c>
      <c r="F199">
        <v>94.01</v>
      </c>
      <c r="G199" s="8">
        <f t="shared" si="3"/>
        <v>31639397.929247074</v>
      </c>
      <c r="H199">
        <v>1473503.6899079999</v>
      </c>
    </row>
    <row r="200" spans="1:8" x14ac:dyDescent="0.3">
      <c r="A200" s="1" t="s">
        <v>2</v>
      </c>
      <c r="B200">
        <v>6.1138856996239408</v>
      </c>
      <c r="C200">
        <v>7638.6529224612086</v>
      </c>
      <c r="D200" s="16">
        <v>7716860</v>
      </c>
      <c r="E200">
        <v>90.85</v>
      </c>
      <c r="F200">
        <v>123.55</v>
      </c>
      <c r="G200" s="8">
        <f t="shared" si="3"/>
        <v>7638652.9224612089</v>
      </c>
      <c r="H200">
        <v>380532.013668</v>
      </c>
    </row>
    <row r="201" spans="1:8" x14ac:dyDescent="0.3">
      <c r="A201" s="1" t="s">
        <v>3</v>
      </c>
      <c r="B201">
        <v>7.6305658099187452</v>
      </c>
      <c r="C201">
        <v>22302.252809143109</v>
      </c>
      <c r="D201" s="16">
        <v>727980</v>
      </c>
      <c r="E201">
        <v>185.38</v>
      </c>
      <c r="F201">
        <v>115.42</v>
      </c>
      <c r="G201" s="8">
        <f t="shared" si="3"/>
        <v>22302252.809143107</v>
      </c>
      <c r="H201">
        <v>63311.449824000003</v>
      </c>
    </row>
    <row r="202" spans="1:8" x14ac:dyDescent="0.3">
      <c r="A202" s="1" t="s">
        <v>4</v>
      </c>
      <c r="B202">
        <v>9.9712777612381345</v>
      </c>
      <c r="C202">
        <v>324950.89143358491</v>
      </c>
      <c r="D202" s="16">
        <v>10197101</v>
      </c>
      <c r="E202">
        <v>99.55</v>
      </c>
      <c r="F202">
        <v>116.49</v>
      </c>
      <c r="G202" s="8">
        <f t="shared" si="3"/>
        <v>324950891.43358493</v>
      </c>
      <c r="H202">
        <v>1059999.035256</v>
      </c>
    </row>
    <row r="203" spans="1:8" ht="24" x14ac:dyDescent="0.3">
      <c r="A203" s="2" t="s">
        <v>5</v>
      </c>
      <c r="B203">
        <v>9.1144422513594296</v>
      </c>
      <c r="C203">
        <v>29093.984085988624</v>
      </c>
      <c r="D203" s="16">
        <v>82516260</v>
      </c>
      <c r="E203">
        <v>103.86</v>
      </c>
      <c r="F203">
        <v>90.17</v>
      </c>
      <c r="G203" s="8">
        <f t="shared" ref="G203:G266" si="4">C203*1000</f>
        <v>29093984.085988626</v>
      </c>
      <c r="H203">
        <v>8763328.4036040008</v>
      </c>
    </row>
    <row r="204" spans="1:8" x14ac:dyDescent="0.3">
      <c r="A204" s="1" t="s">
        <v>6</v>
      </c>
      <c r="B204">
        <v>12.105401329260149</v>
      </c>
      <c r="C204">
        <v>323995.85883897613</v>
      </c>
      <c r="D204" s="16">
        <v>5404523</v>
      </c>
      <c r="E204">
        <v>90.77</v>
      </c>
      <c r="F204">
        <v>104.68</v>
      </c>
      <c r="G204" s="8">
        <f t="shared" si="4"/>
        <v>323995858.83897614</v>
      </c>
      <c r="H204">
        <v>608641.39619999996</v>
      </c>
    </row>
    <row r="205" spans="1:8" x14ac:dyDescent="0.3">
      <c r="A205" s="1" t="s">
        <v>7</v>
      </c>
      <c r="B205">
        <v>12.417892921360684</v>
      </c>
      <c r="C205">
        <v>10082.003863288686</v>
      </c>
      <c r="D205" s="16">
        <v>1362550</v>
      </c>
      <c r="E205">
        <v>53.16</v>
      </c>
      <c r="F205">
        <v>88.88</v>
      </c>
      <c r="G205" s="8">
        <f t="shared" si="4"/>
        <v>10082003.863288686</v>
      </c>
      <c r="H205">
        <v>116297.49722400001</v>
      </c>
    </row>
    <row r="206" spans="1:8" x14ac:dyDescent="0.3">
      <c r="A206" s="1" t="s">
        <v>8</v>
      </c>
      <c r="B206">
        <v>9.9474939848219019</v>
      </c>
      <c r="C206">
        <v>20674.079777153027</v>
      </c>
      <c r="D206" s="16">
        <v>10955141</v>
      </c>
      <c r="E206">
        <v>102.02</v>
      </c>
      <c r="F206">
        <v>111.48</v>
      </c>
      <c r="G206" s="8">
        <f t="shared" si="4"/>
        <v>20674079.777153026</v>
      </c>
      <c r="H206">
        <v>816888.89260799997</v>
      </c>
    </row>
    <row r="207" spans="1:8" x14ac:dyDescent="0.3">
      <c r="A207" s="1" t="s">
        <v>31</v>
      </c>
      <c r="B207">
        <v>7.8179213662397711</v>
      </c>
      <c r="C207">
        <v>22987.908985299462</v>
      </c>
      <c r="D207" s="16">
        <v>42921895</v>
      </c>
      <c r="E207">
        <v>96.61</v>
      </c>
      <c r="F207">
        <v>92.68</v>
      </c>
      <c r="G207" s="8">
        <f t="shared" si="4"/>
        <v>22987908.985299461</v>
      </c>
      <c r="H207">
        <v>3796583.3317800001</v>
      </c>
    </row>
    <row r="208" spans="1:8" x14ac:dyDescent="0.3">
      <c r="A208" s="1" t="s">
        <v>9</v>
      </c>
      <c r="B208">
        <v>12.945251227388846</v>
      </c>
      <c r="C208">
        <v>33435.542539554932</v>
      </c>
      <c r="D208" s="16">
        <v>5228172</v>
      </c>
      <c r="E208">
        <v>96.86</v>
      </c>
      <c r="F208">
        <v>100.6</v>
      </c>
      <c r="G208" s="8">
        <f t="shared" si="4"/>
        <v>33435542.539554931</v>
      </c>
      <c r="H208">
        <v>1050289.3436400001</v>
      </c>
    </row>
    <row r="209" spans="1:8" x14ac:dyDescent="0.3">
      <c r="A209" s="1" t="s">
        <v>10</v>
      </c>
      <c r="B209">
        <v>6.0274395457541665</v>
      </c>
      <c r="C209">
        <v>30129.547122858694</v>
      </c>
      <c r="D209" s="16">
        <v>62532556</v>
      </c>
      <c r="E209">
        <v>106.01</v>
      </c>
      <c r="F209">
        <v>101.41</v>
      </c>
      <c r="G209" s="8">
        <f t="shared" si="4"/>
        <v>30129547.122858696</v>
      </c>
      <c r="H209">
        <v>6416317.3478760002</v>
      </c>
    </row>
    <row r="210" spans="1:8" x14ac:dyDescent="0.3">
      <c r="A210" s="1" t="s">
        <v>11</v>
      </c>
      <c r="B210">
        <v>4.9040561260047388</v>
      </c>
      <c r="C210">
        <v>71973.288079074482</v>
      </c>
      <c r="D210" s="16">
        <v>4308293</v>
      </c>
      <c r="E210">
        <v>81.13</v>
      </c>
      <c r="F210">
        <v>75.739999999999995</v>
      </c>
      <c r="G210" s="8">
        <f t="shared" si="4"/>
        <v>71973288.079074487</v>
      </c>
      <c r="H210">
        <v>289324.25038799999</v>
      </c>
    </row>
    <row r="211" spans="1:8" x14ac:dyDescent="0.3">
      <c r="A211" s="1" t="s">
        <v>12</v>
      </c>
      <c r="B211">
        <v>5.5792208799595855</v>
      </c>
      <c r="C211">
        <v>2624068.2631745893</v>
      </c>
      <c r="D211" s="16">
        <v>10107146</v>
      </c>
      <c r="E211">
        <v>108.69</v>
      </c>
      <c r="F211">
        <v>106.97</v>
      </c>
      <c r="G211" s="8">
        <f t="shared" si="4"/>
        <v>2624068263.1745892</v>
      </c>
      <c r="H211">
        <v>713900.10214800003</v>
      </c>
    </row>
    <row r="212" spans="1:8" x14ac:dyDescent="0.3">
      <c r="A212" s="1" t="s">
        <v>13</v>
      </c>
      <c r="B212">
        <v>11.02140353618514</v>
      </c>
      <c r="C212">
        <v>38139.099851555009</v>
      </c>
      <c r="D212" s="16">
        <v>4070262</v>
      </c>
      <c r="E212">
        <v>111.52</v>
      </c>
      <c r="F212">
        <v>89.63</v>
      </c>
      <c r="G212" s="8">
        <f t="shared" si="4"/>
        <v>38139099.851555012</v>
      </c>
      <c r="H212">
        <v>463591.88733599999</v>
      </c>
    </row>
    <row r="213" spans="1:8" x14ac:dyDescent="0.3">
      <c r="A213" s="1" t="s">
        <v>14</v>
      </c>
      <c r="B213">
        <v>8.1894309102208958</v>
      </c>
      <c r="C213">
        <v>28108.170129145663</v>
      </c>
      <c r="D213" s="16">
        <v>57685327</v>
      </c>
      <c r="E213">
        <v>124.07</v>
      </c>
      <c r="F213">
        <v>110.28</v>
      </c>
      <c r="G213" s="8">
        <f t="shared" si="4"/>
        <v>28108170.129145663</v>
      </c>
      <c r="H213">
        <v>5427240.4437480001</v>
      </c>
    </row>
    <row r="214" spans="1:8" x14ac:dyDescent="0.3">
      <c r="A214" s="1" t="s">
        <v>15</v>
      </c>
      <c r="B214">
        <v>3.5267206088108796</v>
      </c>
      <c r="C214">
        <v>7268.2033597761365</v>
      </c>
      <c r="D214" s="16">
        <v>3377075</v>
      </c>
      <c r="E214">
        <v>60.54</v>
      </c>
      <c r="F214">
        <v>101.28</v>
      </c>
      <c r="G214" s="8">
        <f t="shared" si="4"/>
        <v>7268203.3597761365</v>
      </c>
      <c r="H214">
        <v>182476.27702800001</v>
      </c>
    </row>
    <row r="215" spans="1:8" x14ac:dyDescent="0.3">
      <c r="A215" s="1" t="s">
        <v>16</v>
      </c>
      <c r="B215">
        <v>25.496894748905795</v>
      </c>
      <c r="C215">
        <v>78734.575490230185</v>
      </c>
      <c r="D215" s="16">
        <v>458095</v>
      </c>
      <c r="E215">
        <v>130.12</v>
      </c>
      <c r="F215">
        <v>86.21</v>
      </c>
      <c r="G215" s="8">
        <f t="shared" si="4"/>
        <v>78734575.490230188</v>
      </c>
      <c r="H215">
        <v>166599.72208800001</v>
      </c>
    </row>
    <row r="216" spans="1:8" x14ac:dyDescent="0.3">
      <c r="A216" s="1" t="s">
        <v>17</v>
      </c>
      <c r="B216">
        <v>3.3670301468502362</v>
      </c>
      <c r="C216">
        <v>7398.8200489973578</v>
      </c>
      <c r="D216" s="16">
        <v>2263122</v>
      </c>
      <c r="E216">
        <v>56.03</v>
      </c>
      <c r="F216">
        <v>81.27</v>
      </c>
      <c r="G216" s="8">
        <f t="shared" si="4"/>
        <v>7398820.0489973575</v>
      </c>
      <c r="H216">
        <v>161719.04372399999</v>
      </c>
    </row>
    <row r="217" spans="1:8" x14ac:dyDescent="0.3">
      <c r="A217" s="1" t="s">
        <v>18</v>
      </c>
      <c r="B217">
        <v>6.4794601114467145</v>
      </c>
      <c r="C217">
        <v>14119.535777358522</v>
      </c>
      <c r="D217" s="16">
        <v>401268</v>
      </c>
      <c r="E217">
        <v>98.18</v>
      </c>
      <c r="F217">
        <v>118.36</v>
      </c>
      <c r="G217" s="8">
        <f t="shared" si="4"/>
        <v>14119535.777358523</v>
      </c>
      <c r="H217">
        <v>14225.155416</v>
      </c>
    </row>
    <row r="218" spans="1:8" x14ac:dyDescent="0.3">
      <c r="A218" s="1" t="s">
        <v>19</v>
      </c>
      <c r="B218">
        <v>10.573783122839341</v>
      </c>
      <c r="C218">
        <v>35921.625448578445</v>
      </c>
      <c r="D218" s="16">
        <v>16281779</v>
      </c>
      <c r="E218">
        <v>103.75</v>
      </c>
      <c r="F218">
        <v>82.77</v>
      </c>
      <c r="G218" s="8">
        <f t="shared" si="4"/>
        <v>35921625.448578447</v>
      </c>
      <c r="H218">
        <v>2099169.5360039999</v>
      </c>
    </row>
    <row r="219" spans="1:8" x14ac:dyDescent="0.3">
      <c r="A219" s="1" t="s">
        <v>20</v>
      </c>
      <c r="B219">
        <v>7.9047259219225117</v>
      </c>
      <c r="C219">
        <v>28984.78267839153</v>
      </c>
      <c r="D219" s="16">
        <v>38182222</v>
      </c>
      <c r="E219">
        <v>102.23</v>
      </c>
      <c r="F219">
        <v>86.02</v>
      </c>
      <c r="G219" s="8">
        <f t="shared" si="4"/>
        <v>28984782.678391531</v>
      </c>
      <c r="H219">
        <v>2368553.5652399999</v>
      </c>
    </row>
    <row r="220" spans="1:8" x14ac:dyDescent="0.3">
      <c r="A220" s="1" t="s">
        <v>21</v>
      </c>
      <c r="B220">
        <v>5.9262517883440076</v>
      </c>
      <c r="C220">
        <v>16503.866610732439</v>
      </c>
      <c r="D220" s="16">
        <v>10483861</v>
      </c>
      <c r="E220">
        <v>95.95</v>
      </c>
      <c r="F220">
        <v>103.19</v>
      </c>
      <c r="G220" s="8">
        <f t="shared" si="4"/>
        <v>16503866.610732438</v>
      </c>
      <c r="H220">
        <v>749386.288512</v>
      </c>
    </row>
    <row r="221" spans="1:8" x14ac:dyDescent="0.3">
      <c r="A221" s="1" t="s">
        <v>22</v>
      </c>
      <c r="B221">
        <v>4.5091896473891078</v>
      </c>
      <c r="C221">
        <v>20473.348274415679</v>
      </c>
      <c r="D221" s="16">
        <v>21451748</v>
      </c>
      <c r="E221">
        <v>112.87</v>
      </c>
      <c r="F221">
        <v>112.94</v>
      </c>
      <c r="G221" s="8">
        <f t="shared" si="4"/>
        <v>20473348.274415679</v>
      </c>
      <c r="H221">
        <v>982888.81372800004</v>
      </c>
    </row>
    <row r="222" spans="1:8" x14ac:dyDescent="0.3">
      <c r="A222" s="1" t="s">
        <v>23</v>
      </c>
      <c r="B222">
        <v>9.0404890785900935</v>
      </c>
      <c r="C222">
        <v>353650.84008869267</v>
      </c>
      <c r="D222" s="16">
        <v>8993531</v>
      </c>
      <c r="E222">
        <v>93.58</v>
      </c>
      <c r="F222">
        <v>105.46</v>
      </c>
      <c r="G222" s="8">
        <f t="shared" si="4"/>
        <v>353650840.08869267</v>
      </c>
      <c r="H222">
        <v>199929.37150800001</v>
      </c>
    </row>
    <row r="223" spans="1:8" x14ac:dyDescent="0.3">
      <c r="A223" s="1" t="s">
        <v>24</v>
      </c>
      <c r="B223">
        <v>6.9691080881860215</v>
      </c>
      <c r="C223">
        <v>15989.664185793576</v>
      </c>
      <c r="D223" s="16">
        <v>1997012</v>
      </c>
      <c r="E223">
        <v>122.37</v>
      </c>
      <c r="F223">
        <v>117.39</v>
      </c>
      <c r="G223" s="8">
        <f t="shared" si="4"/>
        <v>15989664.185793575</v>
      </c>
      <c r="H223">
        <v>417552.11794800003</v>
      </c>
    </row>
    <row r="224" spans="1:8" x14ac:dyDescent="0.3">
      <c r="A224" s="1" t="s">
        <v>25</v>
      </c>
      <c r="B224">
        <v>7.8667529288757398</v>
      </c>
      <c r="C224">
        <v>9372.5780246146896</v>
      </c>
      <c r="D224" s="16">
        <v>5372280</v>
      </c>
      <c r="E224">
        <v>98.05</v>
      </c>
      <c r="F224">
        <v>155.13</v>
      </c>
      <c r="G224" s="8">
        <f t="shared" si="4"/>
        <v>9372578.0246146899</v>
      </c>
      <c r="H224">
        <v>1362955.7576520001</v>
      </c>
    </row>
    <row r="225" spans="1:8" x14ac:dyDescent="0.3">
      <c r="A225" s="1" t="s">
        <v>26</v>
      </c>
      <c r="B225">
        <v>5.9587274453159722</v>
      </c>
      <c r="C225">
        <v>29917.314165247146</v>
      </c>
      <c r="D225" s="16">
        <v>59987905</v>
      </c>
      <c r="E225">
        <v>95.06</v>
      </c>
      <c r="F225">
        <v>90.98</v>
      </c>
      <c r="G225" s="8">
        <f t="shared" si="4"/>
        <v>29917314.165247146</v>
      </c>
      <c r="H225">
        <v>5804854.3834199999</v>
      </c>
    </row>
    <row r="226" spans="1:8" x14ac:dyDescent="0.3">
      <c r="A226" s="5" t="s">
        <v>0</v>
      </c>
      <c r="B226">
        <v>9.2661138193319275</v>
      </c>
      <c r="C226">
        <v>33703.587848733849</v>
      </c>
      <c r="D226" s="16">
        <v>8227829</v>
      </c>
      <c r="E226">
        <v>105.23</v>
      </c>
      <c r="F226">
        <v>89.79</v>
      </c>
      <c r="G226" s="8">
        <f t="shared" si="4"/>
        <v>33703587.84873385</v>
      </c>
      <c r="H226">
        <v>1073247.7870440001</v>
      </c>
    </row>
    <row r="227" spans="1:8" x14ac:dyDescent="0.3">
      <c r="A227" s="1" t="s">
        <v>1</v>
      </c>
      <c r="B227">
        <v>10.555782313639289</v>
      </c>
      <c r="C227">
        <v>32196.395480024701</v>
      </c>
      <c r="D227" s="16">
        <v>10478617</v>
      </c>
      <c r="E227">
        <v>96.67</v>
      </c>
      <c r="F227">
        <v>89.72</v>
      </c>
      <c r="G227" s="8">
        <f t="shared" si="4"/>
        <v>32196395.480024703</v>
      </c>
      <c r="H227">
        <v>1428974.5179600001</v>
      </c>
    </row>
    <row r="228" spans="1:8" x14ac:dyDescent="0.3">
      <c r="A228" s="1" t="s">
        <v>2</v>
      </c>
      <c r="B228">
        <v>6.2514917145538593</v>
      </c>
      <c r="C228">
        <v>8239.4711851035609</v>
      </c>
      <c r="D228" s="16">
        <v>7658972</v>
      </c>
      <c r="E228">
        <v>69.42</v>
      </c>
      <c r="F228">
        <v>122.7</v>
      </c>
      <c r="G228" s="8">
        <f t="shared" si="4"/>
        <v>8239471.1851035608</v>
      </c>
      <c r="H228">
        <v>398750.70639599999</v>
      </c>
    </row>
    <row r="229" spans="1:8" x14ac:dyDescent="0.3">
      <c r="A229" s="1" t="s">
        <v>3</v>
      </c>
      <c r="B229">
        <v>7.6581972389620274</v>
      </c>
      <c r="C229">
        <v>23050.217997671083</v>
      </c>
      <c r="D229" s="16">
        <v>738540</v>
      </c>
      <c r="E229">
        <v>151.81</v>
      </c>
      <c r="F229">
        <v>111.71</v>
      </c>
      <c r="G229" s="8">
        <f t="shared" si="4"/>
        <v>23050217.997671083</v>
      </c>
      <c r="H229">
        <v>63476.451611999997</v>
      </c>
    </row>
    <row r="230" spans="1:8" x14ac:dyDescent="0.3">
      <c r="A230" s="1" t="s">
        <v>4</v>
      </c>
      <c r="B230">
        <v>9.2758798339014117</v>
      </c>
      <c r="C230">
        <v>345924.07248298341</v>
      </c>
      <c r="D230" s="16">
        <v>10211216</v>
      </c>
      <c r="E230">
        <v>89.72</v>
      </c>
      <c r="F230">
        <v>113.38</v>
      </c>
      <c r="G230" s="8">
        <f t="shared" si="4"/>
        <v>345924072.48298341</v>
      </c>
      <c r="H230">
        <v>1052239.1364</v>
      </c>
    </row>
    <row r="231" spans="1:8" ht="24" x14ac:dyDescent="0.3">
      <c r="A231" s="2" t="s">
        <v>5</v>
      </c>
      <c r="B231">
        <v>9.2788829007708351</v>
      </c>
      <c r="C231">
        <v>29323.51150613133</v>
      </c>
      <c r="D231" s="16">
        <v>82469422</v>
      </c>
      <c r="E231">
        <v>96</v>
      </c>
      <c r="F231">
        <v>89.61</v>
      </c>
      <c r="G231" s="8">
        <f t="shared" si="4"/>
        <v>29323511.506131329</v>
      </c>
      <c r="H231">
        <v>8626259.1448800005</v>
      </c>
    </row>
    <row r="232" spans="1:8" x14ac:dyDescent="0.3">
      <c r="A232" s="1" t="s">
        <v>6</v>
      </c>
      <c r="B232">
        <v>11.751783529013586</v>
      </c>
      <c r="C232">
        <v>330654.33185617975</v>
      </c>
      <c r="D232" s="16">
        <v>5419432</v>
      </c>
      <c r="E232">
        <v>90.11</v>
      </c>
      <c r="F232">
        <v>103.1</v>
      </c>
      <c r="G232" s="8">
        <f t="shared" si="4"/>
        <v>330654331.85617977</v>
      </c>
      <c r="H232">
        <v>612556.26353999996</v>
      </c>
    </row>
    <row r="233" spans="1:8" x14ac:dyDescent="0.3">
      <c r="A233" s="1" t="s">
        <v>7</v>
      </c>
      <c r="B233">
        <v>12.636784705947482</v>
      </c>
      <c r="C233">
        <v>11105.831034852283</v>
      </c>
      <c r="D233" s="16">
        <v>1354775</v>
      </c>
      <c r="E233">
        <v>66.400000000000006</v>
      </c>
      <c r="F233">
        <v>87.64</v>
      </c>
      <c r="G233" s="8">
        <f t="shared" si="4"/>
        <v>11105831.034852283</v>
      </c>
      <c r="H233">
        <v>118013.83401599999</v>
      </c>
    </row>
    <row r="234" spans="1:8" x14ac:dyDescent="0.3">
      <c r="A234" s="1" t="s">
        <v>8</v>
      </c>
      <c r="B234">
        <v>9.7268779208856344</v>
      </c>
      <c r="C234">
        <v>20737.046440194572</v>
      </c>
      <c r="D234" s="16">
        <v>10987314</v>
      </c>
      <c r="E234">
        <v>106.8</v>
      </c>
      <c r="F234">
        <v>114.21</v>
      </c>
      <c r="G234" s="8">
        <f t="shared" si="4"/>
        <v>20737046.440194573</v>
      </c>
      <c r="H234">
        <v>838647.60847199999</v>
      </c>
    </row>
    <row r="235" spans="1:8" x14ac:dyDescent="0.3">
      <c r="A235" s="1" t="s">
        <v>31</v>
      </c>
      <c r="B235">
        <v>8.0292020130045589</v>
      </c>
      <c r="C235">
        <v>23428.287377989061</v>
      </c>
      <c r="D235" s="16">
        <v>43653155</v>
      </c>
      <c r="E235">
        <v>83.56</v>
      </c>
      <c r="F235">
        <v>90.9</v>
      </c>
      <c r="G235" s="8">
        <f t="shared" si="4"/>
        <v>23428287.377989061</v>
      </c>
      <c r="H235">
        <v>3923414.2735199998</v>
      </c>
    </row>
    <row r="236" spans="1:8" x14ac:dyDescent="0.3">
      <c r="A236" s="1" t="s">
        <v>9</v>
      </c>
      <c r="B236">
        <v>10.571670819596134</v>
      </c>
      <c r="C236">
        <v>34247.587959187178</v>
      </c>
      <c r="D236" s="16">
        <v>5246096</v>
      </c>
      <c r="E236">
        <v>109.85</v>
      </c>
      <c r="F236">
        <v>99.5</v>
      </c>
      <c r="G236" s="8">
        <f t="shared" si="4"/>
        <v>34247587.95918718</v>
      </c>
      <c r="H236">
        <v>1010891.262564</v>
      </c>
    </row>
    <row r="237" spans="1:8" x14ac:dyDescent="0.3">
      <c r="A237" s="1" t="s">
        <v>10</v>
      </c>
      <c r="B237">
        <v>6.0276018008160763</v>
      </c>
      <c r="C237">
        <v>30402.791322867815</v>
      </c>
      <c r="D237" s="16">
        <v>63001253</v>
      </c>
      <c r="E237">
        <v>99.67</v>
      </c>
      <c r="F237">
        <v>100.94</v>
      </c>
      <c r="G237" s="8">
        <f t="shared" si="4"/>
        <v>30402791.322867814</v>
      </c>
      <c r="H237">
        <v>6383781.6413399996</v>
      </c>
    </row>
    <row r="238" spans="1:8" x14ac:dyDescent="0.3">
      <c r="A238" s="1" t="s">
        <v>11</v>
      </c>
      <c r="B238">
        <v>4.9812709317203945</v>
      </c>
      <c r="C238">
        <v>75018.193312154399</v>
      </c>
      <c r="D238" s="16">
        <v>4311674</v>
      </c>
      <c r="E238">
        <v>84.84</v>
      </c>
      <c r="F238">
        <v>82.56</v>
      </c>
      <c r="G238" s="8">
        <f t="shared" si="4"/>
        <v>75018193.312154397</v>
      </c>
      <c r="H238">
        <v>298839.88382400002</v>
      </c>
    </row>
    <row r="239" spans="1:8" x14ac:dyDescent="0.3">
      <c r="A239" s="1" t="s">
        <v>12</v>
      </c>
      <c r="B239">
        <v>5.5476989590133501</v>
      </c>
      <c r="C239">
        <v>2742227.5934659881</v>
      </c>
      <c r="D239" s="16">
        <v>10087065</v>
      </c>
      <c r="E239">
        <v>94.9</v>
      </c>
      <c r="F239">
        <v>100.03</v>
      </c>
      <c r="G239" s="8">
        <f t="shared" si="4"/>
        <v>2742227593.4659882</v>
      </c>
      <c r="H239">
        <v>740094.10459200002</v>
      </c>
    </row>
    <row r="240" spans="1:8" x14ac:dyDescent="0.3">
      <c r="A240" s="1" t="s">
        <v>13</v>
      </c>
      <c r="B240">
        <v>11.245424785223925</v>
      </c>
      <c r="C240">
        <v>39457.653413291722</v>
      </c>
      <c r="D240" s="16">
        <v>4159914</v>
      </c>
      <c r="E240">
        <v>91.03</v>
      </c>
      <c r="F240">
        <v>87.47</v>
      </c>
      <c r="G240" s="8">
        <f t="shared" si="4"/>
        <v>39457653.413291723</v>
      </c>
      <c r="H240">
        <v>488027.22444000002</v>
      </c>
    </row>
    <row r="241" spans="1:8" x14ac:dyDescent="0.3">
      <c r="A241" s="1" t="s">
        <v>14</v>
      </c>
      <c r="B241">
        <v>8.1737832960527985</v>
      </c>
      <c r="C241">
        <v>28199.143976956908</v>
      </c>
      <c r="D241" s="16">
        <v>57969484</v>
      </c>
      <c r="E241">
        <v>118.74</v>
      </c>
      <c r="F241">
        <v>109.73</v>
      </c>
      <c r="G241" s="8">
        <f t="shared" si="4"/>
        <v>28199143.976956908</v>
      </c>
      <c r="H241">
        <v>5554547.9270639997</v>
      </c>
    </row>
    <row r="242" spans="1:8" x14ac:dyDescent="0.3">
      <c r="A242" s="1" t="s">
        <v>15</v>
      </c>
      <c r="B242">
        <v>3.8615174951121558</v>
      </c>
      <c r="C242">
        <v>7958.7585771728627</v>
      </c>
      <c r="D242" s="16">
        <v>3322528</v>
      </c>
      <c r="E242">
        <v>60.12</v>
      </c>
      <c r="F242">
        <v>105.69</v>
      </c>
      <c r="G242" s="8">
        <f t="shared" si="4"/>
        <v>7958758.5771728624</v>
      </c>
      <c r="H242">
        <v>193263.650964</v>
      </c>
    </row>
    <row r="243" spans="1:8" x14ac:dyDescent="0.3">
      <c r="A243" s="1" t="s">
        <v>16</v>
      </c>
      <c r="B243">
        <v>25.668697517832648</v>
      </c>
      <c r="C243">
        <v>79464.260577743466</v>
      </c>
      <c r="D243" s="16">
        <v>465158</v>
      </c>
      <c r="E243">
        <v>110.88</v>
      </c>
      <c r="F243">
        <v>84.86</v>
      </c>
      <c r="G243" s="8">
        <f t="shared" si="4"/>
        <v>79464260.577743471</v>
      </c>
      <c r="H243">
        <v>169985.54538</v>
      </c>
    </row>
    <row r="244" spans="1:8" x14ac:dyDescent="0.3">
      <c r="A244" s="1" t="s">
        <v>17</v>
      </c>
      <c r="B244">
        <v>3.4482774023036455</v>
      </c>
      <c r="C244">
        <v>8280.6167896148781</v>
      </c>
      <c r="D244" s="16">
        <v>2238799</v>
      </c>
      <c r="E244">
        <v>66.58</v>
      </c>
      <c r="F244">
        <v>83.92</v>
      </c>
      <c r="G244" s="8">
        <f t="shared" si="4"/>
        <v>8280616.7896148786</v>
      </c>
      <c r="H244">
        <v>166149.38988</v>
      </c>
    </row>
    <row r="245" spans="1:8" x14ac:dyDescent="0.3">
      <c r="A245" s="1" t="s">
        <v>18</v>
      </c>
      <c r="B245">
        <v>6.4878142999351214</v>
      </c>
      <c r="C245">
        <v>14504.530963520157</v>
      </c>
      <c r="D245" s="16">
        <v>403834</v>
      </c>
      <c r="E245">
        <v>92</v>
      </c>
      <c r="F245">
        <v>114.86</v>
      </c>
      <c r="G245" s="8">
        <f t="shared" si="4"/>
        <v>14504530.963520158</v>
      </c>
      <c r="H245">
        <v>12129.159600000001</v>
      </c>
    </row>
    <row r="246" spans="1:8" x14ac:dyDescent="0.3">
      <c r="A246" s="1" t="s">
        <v>19</v>
      </c>
      <c r="B246">
        <v>10.292362658815623</v>
      </c>
      <c r="C246">
        <v>36572.776455114094</v>
      </c>
      <c r="D246" s="16">
        <v>16319868</v>
      </c>
      <c r="E246">
        <v>98.72</v>
      </c>
      <c r="F246">
        <v>83</v>
      </c>
      <c r="G246" s="8">
        <f t="shared" si="4"/>
        <v>36572776.455114096</v>
      </c>
      <c r="H246">
        <v>2065905.954288</v>
      </c>
    </row>
    <row r="247" spans="1:8" x14ac:dyDescent="0.3">
      <c r="A247" s="1" t="s">
        <v>20</v>
      </c>
      <c r="B247">
        <v>7.8958859250822311</v>
      </c>
      <c r="C247">
        <v>30014.423578008849</v>
      </c>
      <c r="D247" s="16">
        <v>38165445</v>
      </c>
      <c r="E247">
        <v>89.49</v>
      </c>
      <c r="F247">
        <v>87.71</v>
      </c>
      <c r="G247" s="8">
        <f t="shared" si="4"/>
        <v>30014423.578008849</v>
      </c>
      <c r="H247">
        <v>2398501.7456399999</v>
      </c>
    </row>
    <row r="248" spans="1:8" x14ac:dyDescent="0.3">
      <c r="A248" s="1" t="s">
        <v>21</v>
      </c>
      <c r="B248">
        <v>6.2332612609524789</v>
      </c>
      <c r="C248">
        <v>16602.070990503966</v>
      </c>
      <c r="D248" s="16">
        <v>10503330</v>
      </c>
      <c r="E248">
        <v>83.12</v>
      </c>
      <c r="F248">
        <v>104.63</v>
      </c>
      <c r="G248" s="8">
        <f t="shared" si="4"/>
        <v>16602070.990503965</v>
      </c>
      <c r="H248">
        <v>750720.95661600004</v>
      </c>
    </row>
    <row r="249" spans="1:8" x14ac:dyDescent="0.3">
      <c r="A249" s="1" t="s">
        <v>22</v>
      </c>
      <c r="B249">
        <v>4.493968836781594</v>
      </c>
      <c r="C249">
        <v>21561.814067515537</v>
      </c>
      <c r="D249" s="16">
        <v>21319685</v>
      </c>
      <c r="E249">
        <v>90.82</v>
      </c>
      <c r="F249">
        <v>115.46</v>
      </c>
      <c r="G249" s="8">
        <f t="shared" si="4"/>
        <v>21561814.067515537</v>
      </c>
      <c r="H249">
        <v>980108.23424400005</v>
      </c>
    </row>
    <row r="250" spans="1:8" x14ac:dyDescent="0.3">
      <c r="A250" s="1" t="s">
        <v>23</v>
      </c>
      <c r="B250">
        <v>8.9501524191420962</v>
      </c>
      <c r="C250">
        <v>362309.09126346192</v>
      </c>
      <c r="D250" s="16">
        <v>9029572</v>
      </c>
      <c r="E250">
        <v>87.68</v>
      </c>
      <c r="F250">
        <v>102.32</v>
      </c>
      <c r="G250" s="8">
        <f t="shared" si="4"/>
        <v>362309091.26346189</v>
      </c>
      <c r="H250">
        <v>203005.58094000001</v>
      </c>
    </row>
    <row r="251" spans="1:8" x14ac:dyDescent="0.3">
      <c r="A251" s="1" t="s">
        <v>24</v>
      </c>
      <c r="B251">
        <v>7.1694367581042826</v>
      </c>
      <c r="C251">
        <v>16568.224388319966</v>
      </c>
      <c r="D251" s="16">
        <v>2000474</v>
      </c>
      <c r="E251">
        <v>112.75</v>
      </c>
      <c r="F251">
        <v>111.21</v>
      </c>
      <c r="G251" s="8">
        <f t="shared" si="4"/>
        <v>16568224.388319965</v>
      </c>
      <c r="H251">
        <v>436876.25147999998</v>
      </c>
    </row>
    <row r="252" spans="1:8" x14ac:dyDescent="0.3">
      <c r="A252" s="1" t="s">
        <v>25</v>
      </c>
      <c r="B252">
        <v>7.9631127422800789</v>
      </c>
      <c r="C252">
        <v>9992.3869919429453</v>
      </c>
      <c r="D252" s="16">
        <v>5372807</v>
      </c>
      <c r="E252">
        <v>92.73</v>
      </c>
      <c r="F252">
        <v>156.71</v>
      </c>
      <c r="G252" s="8">
        <f t="shared" si="4"/>
        <v>9992386.9919429459</v>
      </c>
      <c r="H252">
        <v>1350116.0562239999</v>
      </c>
    </row>
    <row r="253" spans="1:8" x14ac:dyDescent="0.3">
      <c r="A253" s="1" t="s">
        <v>26</v>
      </c>
      <c r="B253">
        <v>5.560617934050474</v>
      </c>
      <c r="C253">
        <v>30483.133068568201</v>
      </c>
      <c r="D253" s="16">
        <v>60401206</v>
      </c>
      <c r="E253">
        <v>94.84</v>
      </c>
      <c r="F253">
        <v>92.25</v>
      </c>
      <c r="G253" s="8">
        <f t="shared" si="4"/>
        <v>30483133.0685682</v>
      </c>
      <c r="H253">
        <v>5755949.5867919996</v>
      </c>
    </row>
    <row r="254" spans="1:8" x14ac:dyDescent="0.3">
      <c r="A254" s="5" t="s">
        <v>0</v>
      </c>
      <c r="B254">
        <v>8.9615693800226666</v>
      </c>
      <c r="C254">
        <v>34695.625272497615</v>
      </c>
      <c r="D254" s="16">
        <v>8268641</v>
      </c>
      <c r="E254">
        <v>102.2</v>
      </c>
      <c r="F254">
        <v>91.1</v>
      </c>
      <c r="G254" s="8">
        <f t="shared" si="4"/>
        <v>34695625.272497617</v>
      </c>
      <c r="H254">
        <v>1068752.1686760001</v>
      </c>
    </row>
    <row r="255" spans="1:8" x14ac:dyDescent="0.3">
      <c r="A255" s="1" t="s">
        <v>1</v>
      </c>
      <c r="B255">
        <v>10.300571921124449</v>
      </c>
      <c r="C255">
        <v>32801.102770926846</v>
      </c>
      <c r="D255" s="16">
        <v>10547958</v>
      </c>
      <c r="E255">
        <v>88.66</v>
      </c>
      <c r="F255">
        <v>90.93</v>
      </c>
      <c r="G255" s="8">
        <f t="shared" si="4"/>
        <v>32801102.770926844</v>
      </c>
      <c r="H255">
        <v>1431371.5446959999</v>
      </c>
    </row>
    <row r="256" spans="1:8" x14ac:dyDescent="0.3">
      <c r="A256" s="1" t="s">
        <v>2</v>
      </c>
      <c r="B256">
        <v>6.4425546985655346</v>
      </c>
      <c r="C256">
        <v>8867.0593155028346</v>
      </c>
      <c r="D256" s="16">
        <v>7601022</v>
      </c>
      <c r="E256">
        <v>73.900000000000006</v>
      </c>
      <c r="F256">
        <v>123.67</v>
      </c>
      <c r="G256" s="8">
        <f t="shared" si="4"/>
        <v>8867059.3155028354</v>
      </c>
      <c r="H256">
        <v>415432.75978800002</v>
      </c>
    </row>
    <row r="257" spans="1:8" x14ac:dyDescent="0.3">
      <c r="A257" s="1" t="s">
        <v>3</v>
      </c>
      <c r="B257">
        <v>7.5943943040129769</v>
      </c>
      <c r="C257">
        <v>23737.413860832396</v>
      </c>
      <c r="D257" s="16">
        <v>750965</v>
      </c>
      <c r="E257">
        <v>142.91999999999999</v>
      </c>
      <c r="F257">
        <v>104.01</v>
      </c>
      <c r="G257" s="8">
        <f t="shared" si="4"/>
        <v>23737413.860832397</v>
      </c>
      <c r="H257">
        <v>64390.681259999998</v>
      </c>
    </row>
    <row r="258" spans="1:8" x14ac:dyDescent="0.3">
      <c r="A258" s="1" t="s">
        <v>4</v>
      </c>
      <c r="B258">
        <v>10.705736258918074</v>
      </c>
      <c r="C258">
        <v>368333.7382115568</v>
      </c>
      <c r="D258" s="16">
        <v>10238905</v>
      </c>
      <c r="E258">
        <v>78.17</v>
      </c>
      <c r="F258">
        <v>110.2</v>
      </c>
      <c r="G258" s="8">
        <f t="shared" si="4"/>
        <v>368333738.21155679</v>
      </c>
      <c r="H258">
        <v>1058592.0611159999</v>
      </c>
    </row>
    <row r="259" spans="1:8" ht="24" x14ac:dyDescent="0.3">
      <c r="A259" s="2" t="s">
        <v>5</v>
      </c>
      <c r="B259">
        <v>9.1376308691130106</v>
      </c>
      <c r="C259">
        <v>30476.984184063716</v>
      </c>
      <c r="D259" s="16">
        <v>82376451</v>
      </c>
      <c r="E259">
        <v>90.6</v>
      </c>
      <c r="F259">
        <v>89.85</v>
      </c>
      <c r="G259" s="8">
        <f t="shared" si="4"/>
        <v>30476984.184063718</v>
      </c>
      <c r="H259">
        <v>8820320.9673960004</v>
      </c>
    </row>
    <row r="260" spans="1:8" x14ac:dyDescent="0.3">
      <c r="A260" s="1" t="s">
        <v>6</v>
      </c>
      <c r="B260">
        <v>11.778603278377913</v>
      </c>
      <c r="C260">
        <v>342465.51432409487</v>
      </c>
      <c r="D260" s="16">
        <v>5437272</v>
      </c>
      <c r="E260">
        <v>84.65</v>
      </c>
      <c r="F260">
        <v>100.96</v>
      </c>
      <c r="G260" s="8">
        <f t="shared" si="4"/>
        <v>342465514.32409489</v>
      </c>
      <c r="H260">
        <v>619249.91003999999</v>
      </c>
    </row>
    <row r="261" spans="1:8" x14ac:dyDescent="0.3">
      <c r="A261" s="1" t="s">
        <v>7</v>
      </c>
      <c r="B261">
        <v>11.798249196248914</v>
      </c>
      <c r="C261">
        <v>12262.473758778893</v>
      </c>
      <c r="D261" s="16">
        <v>1346810</v>
      </c>
      <c r="E261">
        <v>54.38</v>
      </c>
      <c r="F261">
        <v>91.06</v>
      </c>
      <c r="G261" s="8">
        <f t="shared" si="4"/>
        <v>12262473.758778892</v>
      </c>
      <c r="H261">
        <v>118714.53686399999</v>
      </c>
    </row>
    <row r="262" spans="1:8" x14ac:dyDescent="0.3">
      <c r="A262" s="1" t="s">
        <v>8</v>
      </c>
      <c r="B262">
        <v>9.8834070916699233</v>
      </c>
      <c r="C262">
        <v>21843.492672685341</v>
      </c>
      <c r="D262" s="16">
        <v>11020362</v>
      </c>
      <c r="E262">
        <v>98.98</v>
      </c>
      <c r="F262">
        <v>111.47</v>
      </c>
      <c r="G262" s="8">
        <f t="shared" si="4"/>
        <v>21843492.67268534</v>
      </c>
      <c r="H262">
        <v>857152.84579199995</v>
      </c>
    </row>
    <row r="263" spans="1:8" x14ac:dyDescent="0.3">
      <c r="A263" s="1" t="s">
        <v>31</v>
      </c>
      <c r="B263">
        <v>7.6982125880168581</v>
      </c>
      <c r="C263">
        <v>23980.68261929059</v>
      </c>
      <c r="D263" s="16">
        <v>44397319</v>
      </c>
      <c r="E263">
        <v>96.17</v>
      </c>
      <c r="F263">
        <v>91.48</v>
      </c>
      <c r="G263" s="8">
        <f t="shared" si="4"/>
        <v>23980682.61929059</v>
      </c>
      <c r="H263">
        <v>3824542.907784</v>
      </c>
    </row>
    <row r="264" spans="1:8" x14ac:dyDescent="0.3">
      <c r="A264" s="1" t="s">
        <v>9</v>
      </c>
      <c r="B264">
        <v>12.726279786748414</v>
      </c>
      <c r="C264">
        <v>35490.41283949279</v>
      </c>
      <c r="D264" s="16">
        <v>5266268</v>
      </c>
      <c r="E264">
        <v>101.29</v>
      </c>
      <c r="F264">
        <v>99.64</v>
      </c>
      <c r="G264" s="8">
        <f t="shared" si="4"/>
        <v>35490412.83949279</v>
      </c>
      <c r="H264">
        <v>1062445.6337039999</v>
      </c>
    </row>
    <row r="265" spans="1:8" x14ac:dyDescent="0.3">
      <c r="A265" s="1" t="s">
        <v>10</v>
      </c>
      <c r="B265">
        <v>5.8408041976331981</v>
      </c>
      <c r="C265">
        <v>30933.332396572365</v>
      </c>
      <c r="D265" s="16">
        <v>63437350</v>
      </c>
      <c r="E265">
        <v>95.86</v>
      </c>
      <c r="F265">
        <v>96</v>
      </c>
      <c r="G265" s="8">
        <f t="shared" si="4"/>
        <v>30933332.396572366</v>
      </c>
      <c r="H265">
        <v>6269009.7721680002</v>
      </c>
    </row>
    <row r="266" spans="1:8" x14ac:dyDescent="0.3">
      <c r="A266" s="1" t="s">
        <v>11</v>
      </c>
      <c r="B266">
        <v>5.0148927469388163</v>
      </c>
      <c r="C266">
        <v>78698.492182882066</v>
      </c>
      <c r="D266" s="16">
        <v>4313009</v>
      </c>
      <c r="E266">
        <v>90.54</v>
      </c>
      <c r="F266">
        <v>83.04</v>
      </c>
      <c r="G266" s="8">
        <f t="shared" si="4"/>
        <v>78698492.182882071</v>
      </c>
      <c r="H266">
        <v>299570.73163200001</v>
      </c>
    </row>
    <row r="267" spans="1:8" x14ac:dyDescent="0.3">
      <c r="A267" s="1" t="s">
        <v>12</v>
      </c>
      <c r="B267">
        <v>5.5066986914391984</v>
      </c>
      <c r="C267">
        <v>2854926.5559345949</v>
      </c>
      <c r="D267" s="16">
        <v>10071370</v>
      </c>
      <c r="E267">
        <v>92.61</v>
      </c>
      <c r="F267">
        <v>96.74</v>
      </c>
      <c r="G267" s="8">
        <f t="shared" ref="G267:G309" si="5">C267*1000</f>
        <v>2854926555.9345951</v>
      </c>
      <c r="H267">
        <v>729308.57284799998</v>
      </c>
    </row>
    <row r="268" spans="1:8" x14ac:dyDescent="0.3">
      <c r="A268" s="1" t="s">
        <v>13</v>
      </c>
      <c r="B268">
        <v>11.187312964670696</v>
      </c>
      <c r="C268">
        <v>40315.849164762381</v>
      </c>
      <c r="D268" s="16">
        <v>4274137</v>
      </c>
      <c r="E268">
        <v>85.35</v>
      </c>
      <c r="F268">
        <v>87.38</v>
      </c>
      <c r="G268" s="8">
        <f t="shared" si="5"/>
        <v>40315849.164762378</v>
      </c>
      <c r="H268">
        <v>513465.46761599998</v>
      </c>
    </row>
    <row r="269" spans="1:8" x14ac:dyDescent="0.3">
      <c r="A269" s="1" t="s">
        <v>14</v>
      </c>
      <c r="B269">
        <v>8.0257665200381272</v>
      </c>
      <c r="C269">
        <v>28617.945639067802</v>
      </c>
      <c r="D269" s="16">
        <v>58143979</v>
      </c>
      <c r="E269">
        <v>112.64</v>
      </c>
      <c r="F269">
        <v>107.17</v>
      </c>
      <c r="G269" s="8">
        <f t="shared" si="5"/>
        <v>28617945.639067803</v>
      </c>
      <c r="H269">
        <v>5477900.7237480003</v>
      </c>
    </row>
    <row r="270" spans="1:8" x14ac:dyDescent="0.3">
      <c r="A270" s="1" t="s">
        <v>15</v>
      </c>
      <c r="B270">
        <v>3.9817621835959351</v>
      </c>
      <c r="C270">
        <v>8686.3971848785404</v>
      </c>
      <c r="D270" s="16">
        <v>3269909</v>
      </c>
      <c r="E270">
        <v>39.99</v>
      </c>
      <c r="F270">
        <v>106.09</v>
      </c>
      <c r="G270" s="8">
        <f t="shared" si="5"/>
        <v>8686397.1848785412</v>
      </c>
      <c r="H270">
        <v>203895.52714799999</v>
      </c>
    </row>
    <row r="271" spans="1:8" x14ac:dyDescent="0.3">
      <c r="A271" s="1" t="s">
        <v>16</v>
      </c>
      <c r="B271">
        <v>24.839358746776067</v>
      </c>
      <c r="C271">
        <v>82912.300915544067</v>
      </c>
      <c r="D271" s="16">
        <v>472637</v>
      </c>
      <c r="E271">
        <v>112.68</v>
      </c>
      <c r="F271">
        <v>82.64</v>
      </c>
      <c r="G271" s="8">
        <f t="shared" si="5"/>
        <v>82912300.915544063</v>
      </c>
      <c r="H271">
        <v>168283.31810400001</v>
      </c>
    </row>
    <row r="272" spans="1:8" x14ac:dyDescent="0.3">
      <c r="A272" s="1" t="s">
        <v>17</v>
      </c>
      <c r="B272">
        <v>3.6964293844498428</v>
      </c>
      <c r="C272">
        <v>9356.8448479054532</v>
      </c>
      <c r="D272" s="16">
        <v>2218357</v>
      </c>
      <c r="E272">
        <v>58.4</v>
      </c>
      <c r="F272">
        <v>86.12</v>
      </c>
      <c r="G272" s="8">
        <f t="shared" si="5"/>
        <v>9356844.8479054533</v>
      </c>
      <c r="H272">
        <v>172941.59365200001</v>
      </c>
    </row>
    <row r="273" spans="1:8" x14ac:dyDescent="0.3">
      <c r="A273" s="1" t="s">
        <v>18</v>
      </c>
      <c r="B273">
        <v>6.5382375872176226</v>
      </c>
      <c r="C273">
        <v>14814.542101854639</v>
      </c>
      <c r="D273" s="16">
        <v>405308</v>
      </c>
      <c r="E273">
        <v>87.7</v>
      </c>
      <c r="F273">
        <v>115.01</v>
      </c>
      <c r="G273" s="8">
        <f t="shared" si="5"/>
        <v>14814542.101854639</v>
      </c>
      <c r="H273">
        <v>12667.79142</v>
      </c>
    </row>
    <row r="274" spans="1:8" x14ac:dyDescent="0.3">
      <c r="A274" s="1" t="s">
        <v>19</v>
      </c>
      <c r="B274">
        <v>10.015232378657149</v>
      </c>
      <c r="C274">
        <v>37777.831109108527</v>
      </c>
      <c r="D274" s="16">
        <v>16346101</v>
      </c>
      <c r="E274">
        <v>112.07</v>
      </c>
      <c r="F274">
        <v>82.03</v>
      </c>
      <c r="G274" s="8">
        <f t="shared" si="5"/>
        <v>37777831.10910853</v>
      </c>
      <c r="H274">
        <v>2056811.4291960001</v>
      </c>
    </row>
    <row r="275" spans="1:8" x14ac:dyDescent="0.3">
      <c r="A275" s="1" t="s">
        <v>20</v>
      </c>
      <c r="B275">
        <v>8.2349125948018447</v>
      </c>
      <c r="C275">
        <v>31874.842201191168</v>
      </c>
      <c r="D275" s="16">
        <v>38141267</v>
      </c>
      <c r="E275">
        <v>81.3</v>
      </c>
      <c r="F275">
        <v>92.01</v>
      </c>
      <c r="G275" s="8">
        <f t="shared" si="5"/>
        <v>31874842.201191168</v>
      </c>
      <c r="H275">
        <v>2499828.4183680001</v>
      </c>
    </row>
    <row r="276" spans="1:8" x14ac:dyDescent="0.3">
      <c r="A276" s="1" t="s">
        <v>21</v>
      </c>
      <c r="B276">
        <v>5.7449482469972315</v>
      </c>
      <c r="C276">
        <v>16841.462244137398</v>
      </c>
      <c r="D276" s="16">
        <v>10522288</v>
      </c>
      <c r="E276">
        <v>90.77</v>
      </c>
      <c r="F276">
        <v>99.74</v>
      </c>
      <c r="G276" s="8">
        <f t="shared" si="5"/>
        <v>16841462.244137399</v>
      </c>
      <c r="H276">
        <v>739943.75660399999</v>
      </c>
    </row>
    <row r="277" spans="1:8" x14ac:dyDescent="0.3">
      <c r="A277" s="1" t="s">
        <v>22</v>
      </c>
      <c r="B277">
        <v>4.6683552139875131</v>
      </c>
      <c r="C277">
        <v>23431.369073302707</v>
      </c>
      <c r="D277" s="16">
        <v>21193760</v>
      </c>
      <c r="E277">
        <v>89.59</v>
      </c>
      <c r="F277">
        <v>115.38</v>
      </c>
      <c r="G277" s="8">
        <f t="shared" si="5"/>
        <v>23431369.073302709</v>
      </c>
      <c r="H277">
        <v>993220.28701199999</v>
      </c>
    </row>
    <row r="278" spans="1:8" x14ac:dyDescent="0.3">
      <c r="A278" s="1" t="s">
        <v>23</v>
      </c>
      <c r="B278">
        <v>8.9016977386821541</v>
      </c>
      <c r="C278">
        <v>377075.77687105507</v>
      </c>
      <c r="D278" s="16">
        <v>9080505</v>
      </c>
      <c r="E278">
        <v>75.819999999999993</v>
      </c>
      <c r="F278">
        <v>100.9</v>
      </c>
      <c r="G278" s="8">
        <f t="shared" si="5"/>
        <v>377075776.87105507</v>
      </c>
      <c r="H278">
        <v>206094.93692400001</v>
      </c>
    </row>
    <row r="279" spans="1:8" x14ac:dyDescent="0.3">
      <c r="A279" s="1" t="s">
        <v>24</v>
      </c>
      <c r="B279">
        <v>7.0499942863034688</v>
      </c>
      <c r="C279">
        <v>17464.479657356638</v>
      </c>
      <c r="D279" s="16">
        <v>2006868</v>
      </c>
      <c r="E279">
        <v>100.64</v>
      </c>
      <c r="F279">
        <v>113.47</v>
      </c>
      <c r="G279" s="8">
        <f t="shared" si="5"/>
        <v>17464479.657356638</v>
      </c>
      <c r="H279">
        <v>422866.96747199999</v>
      </c>
    </row>
    <row r="280" spans="1:8" x14ac:dyDescent="0.3">
      <c r="A280" s="1" t="s">
        <v>25</v>
      </c>
      <c r="B280">
        <v>8.1270915675570095</v>
      </c>
      <c r="C280">
        <v>10840.559672830015</v>
      </c>
      <c r="D280" s="16">
        <v>5373054</v>
      </c>
      <c r="E280">
        <v>82.69</v>
      </c>
      <c r="F280">
        <v>152.9</v>
      </c>
      <c r="G280" s="8">
        <f t="shared" si="5"/>
        <v>10840559.672830015</v>
      </c>
      <c r="H280">
        <v>1333078.5016439999</v>
      </c>
    </row>
    <row r="281" spans="1:8" x14ac:dyDescent="0.3">
      <c r="A281" s="1" t="s">
        <v>26</v>
      </c>
      <c r="B281">
        <v>5.3851630498524035</v>
      </c>
      <c r="C281">
        <v>31041.83587572859</v>
      </c>
      <c r="D281" s="16">
        <v>60846820</v>
      </c>
      <c r="E281">
        <v>91.8</v>
      </c>
      <c r="F281">
        <v>93.09</v>
      </c>
      <c r="G281" s="8">
        <f t="shared" si="5"/>
        <v>31041835.875728589</v>
      </c>
      <c r="H281">
        <v>5660371.2229920002</v>
      </c>
    </row>
    <row r="282" spans="1:8" x14ac:dyDescent="0.3">
      <c r="A282" s="5" t="s">
        <v>0</v>
      </c>
      <c r="B282">
        <v>8.5878020181334733</v>
      </c>
      <c r="C282">
        <v>35872.407490420999</v>
      </c>
      <c r="D282" s="16">
        <v>8295487</v>
      </c>
      <c r="E282">
        <v>107</v>
      </c>
      <c r="F282">
        <v>92.41</v>
      </c>
      <c r="G282" s="8">
        <f t="shared" si="5"/>
        <v>35872407.490420997</v>
      </c>
      <c r="H282">
        <v>1053752.3715240001</v>
      </c>
    </row>
    <row r="283" spans="1:8" x14ac:dyDescent="0.3">
      <c r="A283" s="1" t="s">
        <v>1</v>
      </c>
      <c r="B283">
        <v>9.8431162182256227</v>
      </c>
      <c r="C283">
        <v>33758.349931925419</v>
      </c>
      <c r="D283" s="16">
        <v>10625700</v>
      </c>
      <c r="E283">
        <v>94.07</v>
      </c>
      <c r="F283">
        <v>91.2</v>
      </c>
      <c r="G283" s="8">
        <f t="shared" si="5"/>
        <v>33758349.931925416</v>
      </c>
      <c r="H283">
        <v>1392944.6756160001</v>
      </c>
    </row>
    <row r="284" spans="1:8" x14ac:dyDescent="0.3">
      <c r="A284" s="1" t="s">
        <v>2</v>
      </c>
      <c r="B284">
        <v>6.9738426562203051</v>
      </c>
      <c r="C284">
        <v>9521.2724441577029</v>
      </c>
      <c r="D284" s="16">
        <v>7545338</v>
      </c>
      <c r="E284">
        <v>56.96</v>
      </c>
      <c r="F284">
        <v>114.3</v>
      </c>
      <c r="G284" s="8">
        <f t="shared" si="5"/>
        <v>9521272.4441577028</v>
      </c>
      <c r="H284">
        <v>410970.25900800002</v>
      </c>
    </row>
    <row r="285" spans="1:8" x14ac:dyDescent="0.3">
      <c r="A285" s="1" t="s">
        <v>3</v>
      </c>
      <c r="B285">
        <v>7.7464868178109025</v>
      </c>
      <c r="C285">
        <v>24422.026397262507</v>
      </c>
      <c r="D285" s="16">
        <v>767125</v>
      </c>
      <c r="E285">
        <v>132.07</v>
      </c>
      <c r="F285">
        <v>106.35</v>
      </c>
      <c r="G285" s="8">
        <f t="shared" si="5"/>
        <v>24422026.397262506</v>
      </c>
      <c r="H285">
        <v>67582.195164000004</v>
      </c>
    </row>
    <row r="286" spans="1:8" x14ac:dyDescent="0.3">
      <c r="A286" s="1" t="s">
        <v>4</v>
      </c>
      <c r="B286">
        <v>9.7776446423084913</v>
      </c>
      <c r="C286">
        <v>386588.67258732743</v>
      </c>
      <c r="D286" s="16">
        <v>10298828</v>
      </c>
      <c r="E286">
        <v>85.52</v>
      </c>
      <c r="F286">
        <v>115.22</v>
      </c>
      <c r="G286" s="8">
        <f t="shared" si="5"/>
        <v>386588672.58732742</v>
      </c>
      <c r="H286">
        <v>1035956.085048</v>
      </c>
    </row>
    <row r="287" spans="1:8" ht="24" x14ac:dyDescent="0.3">
      <c r="A287" s="2" t="s">
        <v>5</v>
      </c>
      <c r="B287">
        <v>9.4411236738325748</v>
      </c>
      <c r="C287">
        <v>31426.112409160327</v>
      </c>
      <c r="D287" s="16">
        <v>82266372</v>
      </c>
      <c r="E287">
        <v>91.69</v>
      </c>
      <c r="F287">
        <v>91.92</v>
      </c>
      <c r="G287" s="8">
        <f t="shared" si="5"/>
        <v>31426112.409160327</v>
      </c>
      <c r="H287">
        <v>8247962.0450520003</v>
      </c>
    </row>
    <row r="288" spans="1:8" x14ac:dyDescent="0.3">
      <c r="A288" s="1" t="s">
        <v>6</v>
      </c>
      <c r="B288">
        <v>12.004278545092705</v>
      </c>
      <c r="C288">
        <v>344050.21021935978</v>
      </c>
      <c r="D288" s="16">
        <v>5461438</v>
      </c>
      <c r="E288">
        <v>85.85</v>
      </c>
      <c r="F288">
        <v>102.91</v>
      </c>
      <c r="G288" s="8">
        <f t="shared" si="5"/>
        <v>344050210.21935976</v>
      </c>
      <c r="H288">
        <v>620661.23845199996</v>
      </c>
    </row>
    <row r="289" spans="1:8" x14ac:dyDescent="0.3">
      <c r="A289" s="1" t="s">
        <v>7</v>
      </c>
      <c r="B289">
        <v>14.805919384193096</v>
      </c>
      <c r="C289">
        <v>13252.181252780678</v>
      </c>
      <c r="D289" s="16">
        <v>1340680</v>
      </c>
      <c r="E289">
        <v>76.510000000000005</v>
      </c>
      <c r="F289">
        <v>91.19</v>
      </c>
      <c r="G289" s="8">
        <f t="shared" si="5"/>
        <v>13252181.252780678</v>
      </c>
      <c r="H289">
        <v>127236.517056</v>
      </c>
    </row>
    <row r="290" spans="1:8" x14ac:dyDescent="0.3">
      <c r="A290" s="1" t="s">
        <v>8</v>
      </c>
      <c r="B290">
        <v>9.5251556735721863</v>
      </c>
      <c r="C290">
        <v>22501.196749938204</v>
      </c>
      <c r="D290" s="16">
        <v>11048473</v>
      </c>
      <c r="E290">
        <v>94.69</v>
      </c>
      <c r="F290">
        <v>107.65</v>
      </c>
      <c r="G290" s="8">
        <f t="shared" si="5"/>
        <v>22501196.749938205</v>
      </c>
      <c r="H290">
        <v>877509.61167599994</v>
      </c>
    </row>
    <row r="291" spans="1:8" x14ac:dyDescent="0.3">
      <c r="A291" s="1" t="s">
        <v>31</v>
      </c>
      <c r="B291">
        <v>7.8422523033520628</v>
      </c>
      <c r="C291">
        <v>24389.438635868206</v>
      </c>
      <c r="D291" s="16">
        <v>45226803</v>
      </c>
      <c r="E291">
        <v>94.86</v>
      </c>
      <c r="F291">
        <v>91.86</v>
      </c>
      <c r="G291" s="8">
        <f t="shared" si="5"/>
        <v>24389438.635868207</v>
      </c>
      <c r="H291">
        <v>3925604.3467319999</v>
      </c>
    </row>
    <row r="292" spans="1:8" x14ac:dyDescent="0.3">
      <c r="A292" s="1" t="s">
        <v>9</v>
      </c>
      <c r="B292">
        <v>12.309216596832503</v>
      </c>
      <c r="C292">
        <v>37212.518853480622</v>
      </c>
      <c r="D292" s="16">
        <v>5288720</v>
      </c>
      <c r="E292">
        <v>107.99</v>
      </c>
      <c r="F292">
        <v>99.62</v>
      </c>
      <c r="G292" s="8">
        <f t="shared" si="5"/>
        <v>37212518.853480622</v>
      </c>
      <c r="H292">
        <v>1061690.460588</v>
      </c>
    </row>
    <row r="293" spans="1:8" x14ac:dyDescent="0.3">
      <c r="A293" s="1" t="s">
        <v>10</v>
      </c>
      <c r="B293">
        <v>5.6690313848081049</v>
      </c>
      <c r="C293">
        <v>31490.39365069124</v>
      </c>
      <c r="D293" s="16">
        <v>63826129</v>
      </c>
      <c r="E293">
        <v>92.67</v>
      </c>
      <c r="F293">
        <v>97.22</v>
      </c>
      <c r="G293" s="8">
        <f t="shared" si="5"/>
        <v>31490393.650691241</v>
      </c>
      <c r="H293">
        <v>6131553.1507080002</v>
      </c>
    </row>
    <row r="294" spans="1:8" x14ac:dyDescent="0.3">
      <c r="A294" s="1" t="s">
        <v>11</v>
      </c>
      <c r="B294">
        <v>5.3106374922654709</v>
      </c>
      <c r="C294">
        <v>82569.77825984075</v>
      </c>
      <c r="D294" s="16">
        <v>4312749</v>
      </c>
      <c r="E294">
        <v>85.29</v>
      </c>
      <c r="F294">
        <v>88.58</v>
      </c>
      <c r="G294" s="8">
        <f t="shared" si="5"/>
        <v>82569778.259840757</v>
      </c>
      <c r="H294">
        <v>300558.27214800002</v>
      </c>
    </row>
    <row r="295" spans="1:8" x14ac:dyDescent="0.3">
      <c r="A295" s="1" t="s">
        <v>12</v>
      </c>
      <c r="B295">
        <v>5.3561235428778273</v>
      </c>
      <c r="C295">
        <v>2867272.5541713322</v>
      </c>
      <c r="D295" s="16">
        <v>10055780</v>
      </c>
      <c r="E295">
        <v>75.13</v>
      </c>
      <c r="F295">
        <v>97.3</v>
      </c>
      <c r="G295" s="8">
        <f t="shared" si="5"/>
        <v>2867272554.1713324</v>
      </c>
      <c r="H295">
        <v>688718.71915200003</v>
      </c>
    </row>
    <row r="296" spans="1:8" x14ac:dyDescent="0.3">
      <c r="A296" s="1" t="s">
        <v>13</v>
      </c>
      <c r="B296">
        <v>10.688933839091309</v>
      </c>
      <c r="C296">
        <v>41250.28360897916</v>
      </c>
      <c r="D296" s="16">
        <v>4398942</v>
      </c>
      <c r="E296">
        <v>82.45</v>
      </c>
      <c r="F296">
        <v>89.61</v>
      </c>
      <c r="G296" s="8">
        <f t="shared" si="5"/>
        <v>41250283.608979158</v>
      </c>
      <c r="H296">
        <v>509078.74791600002</v>
      </c>
    </row>
    <row r="297" spans="1:8" x14ac:dyDescent="0.3">
      <c r="A297" s="1" t="s">
        <v>14</v>
      </c>
      <c r="B297">
        <v>7.8607680475359389</v>
      </c>
      <c r="C297">
        <v>28897.234504558739</v>
      </c>
      <c r="D297" s="16">
        <v>58438310</v>
      </c>
      <c r="E297">
        <v>108.89</v>
      </c>
      <c r="F297">
        <v>110.65</v>
      </c>
      <c r="G297" s="8">
        <f t="shared" si="5"/>
        <v>28897234.504558738</v>
      </c>
      <c r="H297">
        <v>5431812.6386879999</v>
      </c>
    </row>
    <row r="298" spans="1:8" x14ac:dyDescent="0.3">
      <c r="A298" s="1" t="s">
        <v>15</v>
      </c>
      <c r="B298">
        <v>4.0881454921774374</v>
      </c>
      <c r="C298">
        <v>9766.572603907598</v>
      </c>
      <c r="D298" s="16">
        <v>3231294</v>
      </c>
      <c r="E298">
        <v>57.58</v>
      </c>
      <c r="F298">
        <v>110.07</v>
      </c>
      <c r="G298" s="8">
        <f t="shared" si="5"/>
        <v>9766572.6039075982</v>
      </c>
      <c r="H298">
        <v>214496.71408800001</v>
      </c>
    </row>
    <row r="299" spans="1:8" x14ac:dyDescent="0.3">
      <c r="A299" s="1" t="s">
        <v>16</v>
      </c>
      <c r="B299">
        <v>23.208671793130314</v>
      </c>
      <c r="C299">
        <v>88253.53734700715</v>
      </c>
      <c r="D299" s="16">
        <v>479993</v>
      </c>
      <c r="E299">
        <v>107.49</v>
      </c>
      <c r="F299">
        <v>84.28</v>
      </c>
      <c r="G299" s="8">
        <f t="shared" si="5"/>
        <v>88253537.347007155</v>
      </c>
      <c r="H299">
        <v>164181.217068</v>
      </c>
    </row>
    <row r="300" spans="1:8" x14ac:dyDescent="0.3">
      <c r="A300" s="1" t="s">
        <v>17</v>
      </c>
      <c r="B300">
        <v>3.8767000329496781</v>
      </c>
      <c r="C300">
        <v>10371.501275692455</v>
      </c>
      <c r="D300" s="16">
        <v>2200325</v>
      </c>
      <c r="E300">
        <v>70.680000000000007</v>
      </c>
      <c r="F300">
        <v>91.18</v>
      </c>
      <c r="G300" s="8">
        <f t="shared" si="5"/>
        <v>10371501.275692455</v>
      </c>
      <c r="H300">
        <v>179101.339416</v>
      </c>
    </row>
    <row r="301" spans="1:8" x14ac:dyDescent="0.3">
      <c r="A301" s="1" t="s">
        <v>18</v>
      </c>
      <c r="B301">
        <v>6.6629950531564397</v>
      </c>
      <c r="C301">
        <v>15467.853800628927</v>
      </c>
      <c r="D301" s="16">
        <v>406724</v>
      </c>
      <c r="E301">
        <v>92.84</v>
      </c>
      <c r="F301">
        <v>116.67</v>
      </c>
      <c r="G301" s="8">
        <f t="shared" si="5"/>
        <v>15467853.800628927</v>
      </c>
      <c r="H301">
        <v>12436.805664</v>
      </c>
    </row>
    <row r="302" spans="1:8" x14ac:dyDescent="0.3">
      <c r="A302" s="1" t="s">
        <v>19</v>
      </c>
      <c r="B302">
        <v>10.04963100279727</v>
      </c>
      <c r="C302">
        <v>39117.946586459664</v>
      </c>
      <c r="D302" s="16">
        <v>16381696</v>
      </c>
      <c r="E302">
        <v>99.41</v>
      </c>
      <c r="F302">
        <v>83.57</v>
      </c>
      <c r="G302" s="8">
        <f t="shared" si="5"/>
        <v>39117946.586459666</v>
      </c>
      <c r="H302">
        <v>2014111.930716</v>
      </c>
    </row>
    <row r="303" spans="1:8" x14ac:dyDescent="0.3">
      <c r="A303" s="1" t="s">
        <v>20</v>
      </c>
      <c r="B303">
        <v>8.2204983347568863</v>
      </c>
      <c r="C303">
        <v>34144.235035854668</v>
      </c>
      <c r="D303" s="16">
        <v>38120560</v>
      </c>
      <c r="E303">
        <v>90.45</v>
      </c>
      <c r="F303">
        <v>95.19</v>
      </c>
      <c r="G303" s="8">
        <f t="shared" si="5"/>
        <v>34144235.035854667</v>
      </c>
      <c r="H303">
        <v>2506838.9637600002</v>
      </c>
    </row>
    <row r="304" spans="1:8" x14ac:dyDescent="0.3">
      <c r="A304" s="1" t="s">
        <v>21</v>
      </c>
      <c r="B304">
        <v>5.5771792448499298</v>
      </c>
      <c r="C304">
        <v>17229.750984587448</v>
      </c>
      <c r="D304" s="16">
        <v>10542964</v>
      </c>
      <c r="E304">
        <v>82.13</v>
      </c>
      <c r="F304">
        <v>100.25</v>
      </c>
      <c r="G304" s="8">
        <f t="shared" si="5"/>
        <v>17229750.98458745</v>
      </c>
      <c r="H304">
        <v>756338.218704</v>
      </c>
    </row>
    <row r="305" spans="1:8" x14ac:dyDescent="0.3">
      <c r="A305" s="1" t="s">
        <v>22</v>
      </c>
      <c r="B305">
        <v>4.6181144053085905</v>
      </c>
      <c r="C305">
        <v>25500.277406789894</v>
      </c>
      <c r="D305" s="16">
        <v>20882982</v>
      </c>
      <c r="E305">
        <v>59.02</v>
      </c>
      <c r="F305">
        <v>114.96</v>
      </c>
      <c r="G305" s="8">
        <f t="shared" si="5"/>
        <v>25500277.406789895</v>
      </c>
      <c r="H305">
        <v>967666.94870399998</v>
      </c>
    </row>
    <row r="306" spans="1:8" x14ac:dyDescent="0.3">
      <c r="A306" s="1" t="s">
        <v>23</v>
      </c>
      <c r="B306">
        <v>8.6291380696825559</v>
      </c>
      <c r="C306">
        <v>387162.5639734384</v>
      </c>
      <c r="D306" s="16">
        <v>9148092</v>
      </c>
      <c r="E306">
        <v>84.53</v>
      </c>
      <c r="F306">
        <v>98.69</v>
      </c>
      <c r="G306" s="8">
        <f t="shared" si="5"/>
        <v>387162563.97343838</v>
      </c>
      <c r="H306">
        <v>203566.19346000001</v>
      </c>
    </row>
    <row r="307" spans="1:8" x14ac:dyDescent="0.3">
      <c r="A307" s="1" t="s">
        <v>24</v>
      </c>
      <c r="B307">
        <v>6.9251381771592495</v>
      </c>
      <c r="C307">
        <v>18579.340517074786</v>
      </c>
      <c r="D307" s="16">
        <v>2018122</v>
      </c>
      <c r="E307">
        <v>103.86</v>
      </c>
      <c r="F307">
        <v>110.79</v>
      </c>
      <c r="G307" s="8">
        <f t="shared" si="5"/>
        <v>18579340.517074786</v>
      </c>
      <c r="H307">
        <v>425869.86603600002</v>
      </c>
    </row>
    <row r="308" spans="1:8" x14ac:dyDescent="0.3">
      <c r="A308" s="1" t="s">
        <v>25</v>
      </c>
      <c r="B308">
        <v>8.0768159704913778</v>
      </c>
      <c r="C308">
        <v>12011.307016394827</v>
      </c>
      <c r="D308" s="16">
        <v>5374622</v>
      </c>
      <c r="E308">
        <v>76.33</v>
      </c>
      <c r="F308">
        <v>151.9</v>
      </c>
      <c r="G308" s="8">
        <f t="shared" si="5"/>
        <v>12011307.016394828</v>
      </c>
      <c r="H308">
        <v>1338654.900564</v>
      </c>
    </row>
    <row r="309" spans="1:8" x14ac:dyDescent="0.3">
      <c r="A309" s="1" t="s">
        <v>26</v>
      </c>
      <c r="B309">
        <v>5.1529870928276624</v>
      </c>
      <c r="C309">
        <v>31500.088311847489</v>
      </c>
      <c r="D309" s="16">
        <v>61322463</v>
      </c>
      <c r="E309">
        <v>87.09</v>
      </c>
      <c r="F309">
        <v>92.93</v>
      </c>
      <c r="G309" s="8">
        <f t="shared" si="5"/>
        <v>31500088.311847489</v>
      </c>
      <c r="H309">
        <v>5569807.1383440001</v>
      </c>
    </row>
    <row r="310" spans="1:8" x14ac:dyDescent="0.3">
      <c r="A310" s="1"/>
    </row>
    <row r="311" spans="1:8" x14ac:dyDescent="0.3">
      <c r="A311" s="1"/>
    </row>
    <row r="312" spans="1:8" x14ac:dyDescent="0.3">
      <c r="A312" s="1"/>
    </row>
    <row r="313" spans="1:8" x14ac:dyDescent="0.3">
      <c r="A313" s="1"/>
    </row>
    <row r="314" spans="1:8" x14ac:dyDescent="0.3">
      <c r="A3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C534-CD98-4984-B635-0017912A3915}">
  <dimension ref="A1:G3"/>
  <sheetViews>
    <sheetView tabSelected="1" workbookViewId="0">
      <selection activeCell="M6" sqref="M6"/>
    </sheetView>
  </sheetViews>
  <sheetFormatPr defaultRowHeight="14.4" x14ac:dyDescent="0.3"/>
  <cols>
    <col min="1" max="1" width="15" style="11" customWidth="1"/>
    <col min="2" max="2" width="14" style="11" customWidth="1"/>
    <col min="3" max="3" width="16.77734375" style="11" customWidth="1"/>
    <col min="4" max="5" width="8.88671875" style="11" customWidth="1"/>
    <col min="6" max="6" width="9.77734375" customWidth="1"/>
    <col min="7" max="7" width="16.77734375" style="11" customWidth="1"/>
  </cols>
  <sheetData>
    <row r="1" spans="1:7" x14ac:dyDescent="0.3">
      <c r="A1" s="12" t="s">
        <v>41</v>
      </c>
      <c r="B1" s="24" t="s">
        <v>32</v>
      </c>
      <c r="C1" s="21" t="s">
        <v>28</v>
      </c>
      <c r="D1" s="12" t="s">
        <v>44</v>
      </c>
      <c r="E1" s="12" t="s">
        <v>45</v>
      </c>
      <c r="F1" s="12" t="s">
        <v>47</v>
      </c>
      <c r="G1" s="12" t="s">
        <v>29</v>
      </c>
    </row>
    <row r="2" spans="1:7" x14ac:dyDescent="0.3">
      <c r="A2" s="25" t="s">
        <v>50</v>
      </c>
      <c r="B2" s="22" t="s">
        <v>36</v>
      </c>
      <c r="C2" s="22" t="s">
        <v>35</v>
      </c>
      <c r="D2" s="22" t="s">
        <v>48</v>
      </c>
      <c r="E2" s="22" t="s">
        <v>48</v>
      </c>
      <c r="F2" s="15" t="s">
        <v>49</v>
      </c>
      <c r="G2" s="22" t="s">
        <v>46</v>
      </c>
    </row>
    <row r="3" spans="1:7" x14ac:dyDescent="0.3">
      <c r="A3" s="22"/>
      <c r="B3" s="22"/>
      <c r="C3" s="22"/>
      <c r="D3" s="22"/>
      <c r="E3" s="22"/>
      <c r="F3" s="15"/>
      <c r="G3" s="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D00A-4DE2-4B83-AB75-C2D91A90CC5B}">
  <dimension ref="A1:L7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1" sqref="H21"/>
    </sheetView>
  </sheetViews>
  <sheetFormatPr defaultRowHeight="14.4" x14ac:dyDescent="0.3"/>
  <cols>
    <col min="1" max="1" width="24.5546875" customWidth="1"/>
    <col min="2" max="2" width="17.5546875" bestFit="1" customWidth="1"/>
    <col min="3" max="3" width="16.77734375" bestFit="1" customWidth="1"/>
    <col min="4" max="4" width="17" style="3" bestFit="1" customWidth="1"/>
    <col min="5" max="5" width="27.88671875" bestFit="1" customWidth="1"/>
    <col min="7" max="7" width="16.88671875" bestFit="1" customWidth="1"/>
    <col min="8" max="8" width="18.109375" bestFit="1" customWidth="1"/>
    <col min="9" max="10" width="18.109375" customWidth="1"/>
    <col min="13" max="13" width="19.77734375" customWidth="1"/>
  </cols>
  <sheetData>
    <row r="1" spans="1:12" x14ac:dyDescent="0.3">
      <c r="A1" s="6" t="s">
        <v>30</v>
      </c>
      <c r="B1" s="9" t="s">
        <v>39</v>
      </c>
      <c r="C1" s="20" t="s">
        <v>37</v>
      </c>
      <c r="D1" s="20" t="s">
        <v>38</v>
      </c>
      <c r="E1" s="10" t="s">
        <v>40</v>
      </c>
      <c r="F1" s="9" t="s">
        <v>27</v>
      </c>
      <c r="G1" s="19" t="s">
        <v>29</v>
      </c>
      <c r="H1" s="19" t="s">
        <v>42</v>
      </c>
      <c r="I1" s="19" t="s">
        <v>43</v>
      </c>
      <c r="J1" s="19"/>
      <c r="K1" s="11" t="s">
        <v>33</v>
      </c>
      <c r="L1" s="11"/>
    </row>
    <row r="2" spans="1:12" x14ac:dyDescent="0.3">
      <c r="A2" s="13" t="s">
        <v>0</v>
      </c>
      <c r="B2">
        <f>C2/1000000</f>
        <v>7.9482780000000002</v>
      </c>
      <c r="C2">
        <v>7948278</v>
      </c>
      <c r="D2">
        <v>219275.72288136999</v>
      </c>
      <c r="E2">
        <f>D2/B2</f>
        <v>27587.827562318529</v>
      </c>
      <c r="F2" s="14">
        <v>1</v>
      </c>
      <c r="G2">
        <v>836841.84163200005</v>
      </c>
      <c r="H2">
        <v>214483.3</v>
      </c>
      <c r="I2">
        <f>G2-H2</f>
        <v>622358.54163200012</v>
      </c>
      <c r="K2" s="8" t="s">
        <v>34</v>
      </c>
      <c r="L2" s="8"/>
    </row>
    <row r="3" spans="1:12" x14ac:dyDescent="0.3">
      <c r="A3" s="1" t="s">
        <v>1</v>
      </c>
      <c r="B3">
        <f t="shared" ref="B3:B66" si="0">C3/1000000</f>
        <v>10.136811</v>
      </c>
      <c r="C3">
        <v>10136811</v>
      </c>
      <c r="D3">
        <v>266098.07710826996</v>
      </c>
      <c r="E3">
        <f t="shared" ref="E3:E66" si="1">D3/B3</f>
        <v>26250.66967395071</v>
      </c>
      <c r="F3">
        <v>1</v>
      </c>
      <c r="G3">
        <v>1341137.7567</v>
      </c>
      <c r="H3">
        <v>16903.560000000001</v>
      </c>
      <c r="I3">
        <f t="shared" ref="I3:I66" si="2">G3-H3</f>
        <v>1324234.1967</v>
      </c>
    </row>
    <row r="4" spans="1:12" x14ac:dyDescent="0.3">
      <c r="A4" s="1" t="s">
        <v>2</v>
      </c>
      <c r="B4">
        <f t="shared" si="0"/>
        <v>8.4060670000000002</v>
      </c>
      <c r="C4">
        <v>8406067</v>
      </c>
      <c r="D4">
        <v>53250.164598231</v>
      </c>
      <c r="E4">
        <f t="shared" si="1"/>
        <v>6334.7299751751916</v>
      </c>
      <c r="F4">
        <v>1</v>
      </c>
      <c r="G4">
        <v>447987.18131999997</v>
      </c>
      <c r="H4">
        <v>13917.65</v>
      </c>
      <c r="I4">
        <f t="shared" si="2"/>
        <v>434069.53131999995</v>
      </c>
      <c r="K4">
        <v>1995</v>
      </c>
      <c r="L4">
        <v>1</v>
      </c>
    </row>
    <row r="5" spans="1:12" x14ac:dyDescent="0.3">
      <c r="A5" s="1" t="s">
        <v>3</v>
      </c>
      <c r="B5">
        <f t="shared" si="0"/>
        <v>0.65086599999999994</v>
      </c>
      <c r="C5">
        <v>650866</v>
      </c>
      <c r="D5">
        <v>11386.761</v>
      </c>
      <c r="E5">
        <f t="shared" si="1"/>
        <v>17494.785408978194</v>
      </c>
      <c r="F5">
        <v>1</v>
      </c>
      <c r="G5">
        <v>47829.375180000003</v>
      </c>
      <c r="H5">
        <v>1604.34</v>
      </c>
      <c r="I5">
        <f t="shared" si="2"/>
        <v>46225.035180000006</v>
      </c>
      <c r="K5">
        <v>1996</v>
      </c>
      <c r="L5">
        <v>2</v>
      </c>
    </row>
    <row r="6" spans="1:12" x14ac:dyDescent="0.3">
      <c r="A6" s="1" t="s">
        <v>4</v>
      </c>
      <c r="B6">
        <f t="shared" si="0"/>
        <v>10.327253000000001</v>
      </c>
      <c r="C6">
        <v>10327253</v>
      </c>
      <c r="D6">
        <v>2675837.6013695002</v>
      </c>
      <c r="E6">
        <f t="shared" si="1"/>
        <v>259104.48803466905</v>
      </c>
      <c r="F6">
        <v>1</v>
      </c>
      <c r="G6">
        <v>1049474.1318119999</v>
      </c>
      <c r="H6">
        <v>55652.33</v>
      </c>
      <c r="I6">
        <f t="shared" si="2"/>
        <v>993821.80181199999</v>
      </c>
      <c r="K6">
        <v>1997</v>
      </c>
      <c r="L6">
        <v>3</v>
      </c>
    </row>
    <row r="7" spans="1:12" ht="24" x14ac:dyDescent="0.3">
      <c r="A7" s="2" t="s">
        <v>5</v>
      </c>
      <c r="B7">
        <f t="shared" si="0"/>
        <v>81.678050999999996</v>
      </c>
      <c r="C7">
        <v>81678051</v>
      </c>
      <c r="D7">
        <v>2145318.4249968003</v>
      </c>
      <c r="E7">
        <f t="shared" si="1"/>
        <v>26265.543787238512</v>
      </c>
      <c r="F7">
        <v>1</v>
      </c>
      <c r="G7">
        <v>8779152.4142039996</v>
      </c>
      <c r="H7">
        <v>203654.3</v>
      </c>
      <c r="I7">
        <f t="shared" si="2"/>
        <v>8575498.1142039988</v>
      </c>
      <c r="K7">
        <v>1998</v>
      </c>
      <c r="L7">
        <v>4</v>
      </c>
    </row>
    <row r="8" spans="1:12" x14ac:dyDescent="0.3">
      <c r="A8" s="1" t="s">
        <v>6</v>
      </c>
      <c r="B8">
        <f t="shared" si="0"/>
        <v>5.2333730000000003</v>
      </c>
      <c r="C8">
        <v>5233373</v>
      </c>
      <c r="D8">
        <v>1445827.6240000001</v>
      </c>
      <c r="E8">
        <f t="shared" si="1"/>
        <v>276270.7003685768</v>
      </c>
      <c r="F8">
        <v>1</v>
      </c>
      <c r="G8">
        <v>594181.73811599996</v>
      </c>
      <c r="H8">
        <v>44635.99</v>
      </c>
      <c r="I8">
        <f t="shared" si="2"/>
        <v>549545.74811599997</v>
      </c>
      <c r="K8">
        <v>1999</v>
      </c>
      <c r="L8">
        <v>5</v>
      </c>
    </row>
    <row r="9" spans="1:12" x14ac:dyDescent="0.3">
      <c r="A9" s="1" t="s">
        <v>7</v>
      </c>
      <c r="B9">
        <f t="shared" si="0"/>
        <v>1.436634</v>
      </c>
      <c r="C9">
        <v>1436634</v>
      </c>
      <c r="D9">
        <v>7783.2266021777004</v>
      </c>
      <c r="E9">
        <f t="shared" si="1"/>
        <v>5417.6823061250816</v>
      </c>
      <c r="F9">
        <v>1</v>
      </c>
      <c r="G9">
        <v>105823.840212</v>
      </c>
      <c r="H9">
        <v>13041.08</v>
      </c>
      <c r="I9">
        <f t="shared" si="2"/>
        <v>92782.760211999994</v>
      </c>
      <c r="K9">
        <v>2000</v>
      </c>
      <c r="L9">
        <v>6</v>
      </c>
    </row>
    <row r="10" spans="1:12" x14ac:dyDescent="0.3">
      <c r="A10" s="1" t="s">
        <v>8</v>
      </c>
      <c r="B10">
        <f t="shared" si="0"/>
        <v>10.562153</v>
      </c>
      <c r="C10">
        <v>10562153</v>
      </c>
      <c r="D10">
        <v>157435.95992127</v>
      </c>
      <c r="E10">
        <f t="shared" si="1"/>
        <v>14905.669319623565</v>
      </c>
      <c r="F10">
        <v>1</v>
      </c>
      <c r="G10">
        <v>622071.89697600005</v>
      </c>
      <c r="H10">
        <v>51702.82</v>
      </c>
      <c r="I10">
        <f t="shared" si="2"/>
        <v>570369.0769760001</v>
      </c>
      <c r="K10">
        <v>2001</v>
      </c>
      <c r="L10">
        <v>7</v>
      </c>
    </row>
    <row r="11" spans="1:12" x14ac:dyDescent="0.3">
      <c r="A11" s="1" t="s">
        <v>31</v>
      </c>
      <c r="B11">
        <f t="shared" si="0"/>
        <v>39.724049999999998</v>
      </c>
      <c r="C11">
        <v>39724050</v>
      </c>
      <c r="D11">
        <v>711968.89415277005</v>
      </c>
      <c r="E11">
        <f t="shared" si="1"/>
        <v>17922.867737624187</v>
      </c>
      <c r="F11">
        <v>1</v>
      </c>
      <c r="G11">
        <v>2553365.4486480001</v>
      </c>
      <c r="H11">
        <v>211024.6</v>
      </c>
      <c r="I11">
        <f t="shared" si="2"/>
        <v>2342340.848648</v>
      </c>
      <c r="K11">
        <v>2002</v>
      </c>
      <c r="L11">
        <v>8</v>
      </c>
    </row>
    <row r="12" spans="1:12" x14ac:dyDescent="0.3">
      <c r="A12" s="1" t="s">
        <v>9</v>
      </c>
      <c r="B12">
        <f t="shared" si="0"/>
        <v>5.1077899999999996</v>
      </c>
      <c r="C12">
        <v>5107790</v>
      </c>
      <c r="D12">
        <v>123032.48685329</v>
      </c>
      <c r="E12">
        <f t="shared" si="1"/>
        <v>24087.224974654404</v>
      </c>
      <c r="F12">
        <v>1</v>
      </c>
      <c r="G12">
        <v>889744.1949</v>
      </c>
      <c r="H12">
        <v>242601.3</v>
      </c>
      <c r="I12">
        <f t="shared" si="2"/>
        <v>647142.89489999996</v>
      </c>
      <c r="K12">
        <v>2003</v>
      </c>
      <c r="L12">
        <v>9</v>
      </c>
    </row>
    <row r="13" spans="1:12" x14ac:dyDescent="0.3">
      <c r="A13" s="1" t="s">
        <v>10</v>
      </c>
      <c r="B13">
        <f t="shared" si="0"/>
        <v>59.418717999999998</v>
      </c>
      <c r="C13">
        <v>59418718</v>
      </c>
      <c r="D13">
        <v>1524841.7733727</v>
      </c>
      <c r="E13">
        <f t="shared" si="1"/>
        <v>25662.650166445866</v>
      </c>
      <c r="F13">
        <v>1</v>
      </c>
      <c r="G13">
        <v>5721397.2242999999</v>
      </c>
      <c r="H13">
        <v>612270.1</v>
      </c>
      <c r="I13">
        <f t="shared" si="2"/>
        <v>5109127.1243000003</v>
      </c>
      <c r="K13">
        <v>2004</v>
      </c>
      <c r="L13">
        <v>10</v>
      </c>
    </row>
    <row r="14" spans="1:12" x14ac:dyDescent="0.3">
      <c r="A14" s="1" t="s">
        <v>11</v>
      </c>
      <c r="B14">
        <f t="shared" si="0"/>
        <v>4.6200299999999999</v>
      </c>
      <c r="C14">
        <v>4620030</v>
      </c>
      <c r="D14">
        <v>220912.00597758999</v>
      </c>
      <c r="E14">
        <f t="shared" si="1"/>
        <v>47816.141015878682</v>
      </c>
      <c r="F14">
        <v>1</v>
      </c>
      <c r="G14">
        <v>217224.079344</v>
      </c>
      <c r="H14">
        <v>66002.509999999995</v>
      </c>
      <c r="I14">
        <f t="shared" si="2"/>
        <v>151221.56934400002</v>
      </c>
      <c r="K14">
        <v>2005</v>
      </c>
      <c r="L14">
        <v>11</v>
      </c>
    </row>
    <row r="15" spans="1:12" x14ac:dyDescent="0.3">
      <c r="A15" s="1" t="s">
        <v>12</v>
      </c>
      <c r="B15">
        <f t="shared" si="0"/>
        <v>10.328965</v>
      </c>
      <c r="C15">
        <v>10328965</v>
      </c>
      <c r="D15">
        <v>19274619.964581002</v>
      </c>
      <c r="E15">
        <f t="shared" si="1"/>
        <v>1866074.6710421618</v>
      </c>
      <c r="F15">
        <v>1</v>
      </c>
      <c r="G15">
        <v>653871.56407199998</v>
      </c>
      <c r="H15">
        <v>35424.129999999997</v>
      </c>
      <c r="I15">
        <f t="shared" si="2"/>
        <v>618447.43407199997</v>
      </c>
      <c r="K15">
        <v>2006</v>
      </c>
      <c r="L15">
        <v>12</v>
      </c>
    </row>
    <row r="16" spans="1:12" x14ac:dyDescent="0.3">
      <c r="A16" s="1" t="s">
        <v>13</v>
      </c>
      <c r="B16">
        <f t="shared" si="0"/>
        <v>3.608841</v>
      </c>
      <c r="C16">
        <v>3608841</v>
      </c>
      <c r="D16">
        <v>80736.633727132008</v>
      </c>
      <c r="E16">
        <f t="shared" si="1"/>
        <v>22371.90104167294</v>
      </c>
      <c r="F16">
        <v>1</v>
      </c>
      <c r="G16">
        <v>315304.30735199997</v>
      </c>
      <c r="H16">
        <v>6061.5249999999996</v>
      </c>
      <c r="I16">
        <f t="shared" si="2"/>
        <v>309242.78235199995</v>
      </c>
      <c r="K16">
        <v>2007</v>
      </c>
      <c r="L16">
        <v>13</v>
      </c>
    </row>
    <row r="17" spans="1:12" x14ac:dyDescent="0.3">
      <c r="A17" s="1" t="s">
        <v>14</v>
      </c>
      <c r="B17">
        <f t="shared" si="0"/>
        <v>56.844302999999996</v>
      </c>
      <c r="C17">
        <v>56844303</v>
      </c>
      <c r="D17">
        <v>1410521.1339163999</v>
      </c>
      <c r="E17">
        <f t="shared" si="1"/>
        <v>24813.764255608869</v>
      </c>
      <c r="F17">
        <v>1</v>
      </c>
      <c r="G17">
        <v>4635782.0906039998</v>
      </c>
      <c r="H17">
        <v>206861.5</v>
      </c>
      <c r="I17">
        <f t="shared" si="2"/>
        <v>4428920.5906039998</v>
      </c>
      <c r="K17">
        <v>2008</v>
      </c>
      <c r="L17">
        <v>14</v>
      </c>
    </row>
    <row r="18" spans="1:12" x14ac:dyDescent="0.3">
      <c r="A18" s="1" t="s">
        <v>15</v>
      </c>
      <c r="B18">
        <f t="shared" si="0"/>
        <v>3.6291020000000001</v>
      </c>
      <c r="C18">
        <v>3629102</v>
      </c>
      <c r="D18">
        <v>14597.65239768</v>
      </c>
      <c r="E18">
        <f t="shared" si="1"/>
        <v>4022.3869149117331</v>
      </c>
      <c r="F18">
        <v>1</v>
      </c>
      <c r="G18">
        <v>190588.16016</v>
      </c>
      <c r="H18">
        <v>19709.23</v>
      </c>
      <c r="I18">
        <f t="shared" si="2"/>
        <v>170878.93015999999</v>
      </c>
      <c r="K18">
        <v>2009</v>
      </c>
      <c r="L18">
        <v>15</v>
      </c>
    </row>
    <row r="19" spans="1:12" x14ac:dyDescent="0.3">
      <c r="A19" s="1" t="s">
        <v>16</v>
      </c>
      <c r="B19">
        <f t="shared" si="0"/>
        <v>0.40862500000000002</v>
      </c>
      <c r="C19">
        <v>408625</v>
      </c>
      <c r="D19">
        <v>24025.965769287999</v>
      </c>
      <c r="E19">
        <f t="shared" si="1"/>
        <v>58797.101913216269</v>
      </c>
      <c r="F19">
        <v>1</v>
      </c>
      <c r="G19">
        <v>115193.270592</v>
      </c>
      <c r="H19">
        <v>4597.2659999999996</v>
      </c>
      <c r="I19">
        <f t="shared" si="2"/>
        <v>110596.004592</v>
      </c>
      <c r="K19">
        <v>2010</v>
      </c>
      <c r="L19">
        <v>16</v>
      </c>
    </row>
    <row r="20" spans="1:12" x14ac:dyDescent="0.3">
      <c r="A20" s="1" t="s">
        <v>17</v>
      </c>
      <c r="B20">
        <f t="shared" si="0"/>
        <v>2.4850560000000002</v>
      </c>
      <c r="C20">
        <v>2485056</v>
      </c>
      <c r="D20">
        <v>9715.6730282890003</v>
      </c>
      <c r="E20">
        <f t="shared" si="1"/>
        <v>3909.6394722247705</v>
      </c>
      <c r="F20">
        <v>1</v>
      </c>
      <c r="G20">
        <v>159944.55228</v>
      </c>
      <c r="H20">
        <v>51868.11</v>
      </c>
      <c r="I20">
        <f t="shared" si="2"/>
        <v>108076.44228</v>
      </c>
      <c r="K20">
        <v>2011</v>
      </c>
      <c r="L20">
        <v>17</v>
      </c>
    </row>
    <row r="21" spans="1:12" x14ac:dyDescent="0.3">
      <c r="A21" s="1" t="s">
        <v>18</v>
      </c>
      <c r="B21">
        <f t="shared" si="0"/>
        <v>0.377419</v>
      </c>
      <c r="C21">
        <v>377419</v>
      </c>
      <c r="D21" s="17">
        <v>7430.0929276689003</v>
      </c>
      <c r="E21">
        <f t="shared" si="1"/>
        <v>19686.589513694063</v>
      </c>
      <c r="F21">
        <v>1</v>
      </c>
      <c r="G21">
        <v>15803.034732</v>
      </c>
      <c r="H21">
        <v>0</v>
      </c>
      <c r="I21">
        <f t="shared" si="2"/>
        <v>15803.034732</v>
      </c>
      <c r="K21">
        <v>2012</v>
      </c>
      <c r="L21">
        <v>18</v>
      </c>
    </row>
    <row r="22" spans="1:12" x14ac:dyDescent="0.3">
      <c r="A22" s="1" t="s">
        <v>19</v>
      </c>
      <c r="B22">
        <f t="shared" si="0"/>
        <v>15.459006</v>
      </c>
      <c r="C22">
        <v>15459006</v>
      </c>
      <c r="D22">
        <v>451436.54238783004</v>
      </c>
      <c r="E22">
        <f t="shared" si="1"/>
        <v>29202.171367798812</v>
      </c>
      <c r="F22">
        <v>1</v>
      </c>
      <c r="G22">
        <v>1983831.9464159999</v>
      </c>
      <c r="H22">
        <v>25334.880000000001</v>
      </c>
      <c r="I22">
        <f t="shared" si="2"/>
        <v>1958497.066416</v>
      </c>
      <c r="K22">
        <v>2013</v>
      </c>
      <c r="L22">
        <v>19</v>
      </c>
    </row>
    <row r="23" spans="1:12" x14ac:dyDescent="0.3">
      <c r="A23" s="1" t="s">
        <v>20</v>
      </c>
      <c r="B23">
        <f t="shared" si="0"/>
        <v>38.594997999999997</v>
      </c>
      <c r="C23">
        <v>38594998</v>
      </c>
      <c r="D23">
        <v>762158.55655531993</v>
      </c>
      <c r="E23">
        <f t="shared" si="1"/>
        <v>19747.599327646552</v>
      </c>
      <c r="F23">
        <v>1</v>
      </c>
      <c r="G23">
        <v>2546167.6695599998</v>
      </c>
      <c r="H23">
        <v>161236.79999999999</v>
      </c>
      <c r="I23">
        <f t="shared" si="2"/>
        <v>2384930.86956</v>
      </c>
      <c r="K23">
        <v>2014</v>
      </c>
      <c r="L23">
        <v>20</v>
      </c>
    </row>
    <row r="24" spans="1:12" x14ac:dyDescent="0.3">
      <c r="A24" s="1" t="s">
        <v>21</v>
      </c>
      <c r="B24">
        <f t="shared" si="0"/>
        <v>10.026176</v>
      </c>
      <c r="C24">
        <v>10026176</v>
      </c>
      <c r="D24">
        <v>136712.18021075</v>
      </c>
      <c r="E24">
        <f t="shared" si="1"/>
        <v>13635.525669083607</v>
      </c>
      <c r="F24">
        <v>1</v>
      </c>
      <c r="G24">
        <v>549529.43238000001</v>
      </c>
      <c r="H24">
        <v>130468.2</v>
      </c>
      <c r="I24">
        <f t="shared" si="2"/>
        <v>419061.23238</v>
      </c>
      <c r="K24">
        <v>2015</v>
      </c>
      <c r="L24">
        <v>21</v>
      </c>
    </row>
    <row r="25" spans="1:12" x14ac:dyDescent="0.3">
      <c r="A25" s="1" t="s">
        <v>22</v>
      </c>
      <c r="B25">
        <f t="shared" si="0"/>
        <v>22.684270000000001</v>
      </c>
      <c r="C25">
        <v>22684270</v>
      </c>
      <c r="D25">
        <v>353401.37401000003</v>
      </c>
      <c r="E25">
        <f t="shared" si="1"/>
        <v>15579.138055136886</v>
      </c>
      <c r="F25">
        <v>1</v>
      </c>
      <c r="G25">
        <v>1070683.5395160001</v>
      </c>
      <c r="H25">
        <v>92107.51</v>
      </c>
      <c r="I25">
        <f t="shared" si="2"/>
        <v>978576.02951600007</v>
      </c>
      <c r="K25">
        <v>2016</v>
      </c>
      <c r="L25">
        <v>22</v>
      </c>
    </row>
    <row r="26" spans="1:12" x14ac:dyDescent="0.3">
      <c r="A26" s="1" t="s">
        <v>23</v>
      </c>
      <c r="B26">
        <f t="shared" si="0"/>
        <v>8.8269389999999994</v>
      </c>
      <c r="C26">
        <v>8826939</v>
      </c>
      <c r="D26">
        <v>2409362.0969040999</v>
      </c>
      <c r="E26">
        <f t="shared" si="1"/>
        <v>272955.56216080114</v>
      </c>
      <c r="F26">
        <v>1</v>
      </c>
      <c r="G26">
        <v>169369.12281599999</v>
      </c>
      <c r="H26">
        <v>480167.9</v>
      </c>
      <c r="I26">
        <f t="shared" si="2"/>
        <v>-310798.77718400001</v>
      </c>
      <c r="K26">
        <v>2017</v>
      </c>
      <c r="L26">
        <v>23</v>
      </c>
    </row>
    <row r="27" spans="1:12" x14ac:dyDescent="0.3">
      <c r="A27" s="1" t="s">
        <v>24</v>
      </c>
      <c r="B27">
        <f t="shared" si="0"/>
        <v>1.9898720000000001</v>
      </c>
      <c r="C27">
        <v>1989872</v>
      </c>
      <c r="D27">
        <v>22749.886339000001</v>
      </c>
      <c r="E27">
        <f t="shared" si="1"/>
        <v>11432.839066532923</v>
      </c>
      <c r="F27">
        <v>1</v>
      </c>
      <c r="G27">
        <v>420630.75572399999</v>
      </c>
      <c r="H27">
        <v>19468.68</v>
      </c>
      <c r="I27">
        <f t="shared" si="2"/>
        <v>401162.07572399999</v>
      </c>
      <c r="K27">
        <v>2018</v>
      </c>
      <c r="L27">
        <v>24</v>
      </c>
    </row>
    <row r="28" spans="1:12" x14ac:dyDescent="0.3">
      <c r="A28" s="1" t="s">
        <v>25</v>
      </c>
      <c r="B28">
        <f t="shared" si="0"/>
        <v>5.361999</v>
      </c>
      <c r="C28">
        <v>5361999</v>
      </c>
      <c r="D28">
        <v>35367.020177495004</v>
      </c>
      <c r="E28">
        <f t="shared" si="1"/>
        <v>6595.8647469898824</v>
      </c>
      <c r="F28">
        <v>1</v>
      </c>
      <c r="G28">
        <v>1415832.194628</v>
      </c>
      <c r="H28">
        <v>17695.98</v>
      </c>
      <c r="I28">
        <f t="shared" si="2"/>
        <v>1398136.214628</v>
      </c>
      <c r="K28">
        <v>2019</v>
      </c>
      <c r="L28">
        <v>25</v>
      </c>
    </row>
    <row r="29" spans="1:12" x14ac:dyDescent="0.3">
      <c r="A29" s="1" t="s">
        <v>26</v>
      </c>
      <c r="B29">
        <f t="shared" si="0"/>
        <v>58.019030000000001</v>
      </c>
      <c r="C29">
        <v>58019030</v>
      </c>
      <c r="D29">
        <v>1379428</v>
      </c>
      <c r="E29">
        <f t="shared" si="1"/>
        <v>23775.440575273318</v>
      </c>
      <c r="F29">
        <v>1</v>
      </c>
      <c r="G29">
        <v>5501438.3271960001</v>
      </c>
      <c r="H29">
        <v>58327.85</v>
      </c>
      <c r="I29">
        <f t="shared" si="2"/>
        <v>5443110.4771960005</v>
      </c>
      <c r="K29">
        <v>2020</v>
      </c>
      <c r="L29">
        <v>26</v>
      </c>
    </row>
    <row r="30" spans="1:12" x14ac:dyDescent="0.3">
      <c r="A30" s="13" t="s">
        <v>0</v>
      </c>
      <c r="B30">
        <f t="shared" si="0"/>
        <v>7.9590170000000002</v>
      </c>
      <c r="C30" s="8">
        <v>7959017</v>
      </c>
      <c r="D30" s="8">
        <v>224427.68021902</v>
      </c>
      <c r="E30">
        <f t="shared" si="1"/>
        <v>28197.91441820265</v>
      </c>
      <c r="F30" s="8">
        <v>2</v>
      </c>
      <c r="G30">
        <v>907000.50977999996</v>
      </c>
      <c r="H30">
        <v>218014.6</v>
      </c>
      <c r="I30">
        <f t="shared" si="2"/>
        <v>688985.90977999999</v>
      </c>
      <c r="K30" s="8"/>
      <c r="L30" s="8"/>
    </row>
    <row r="31" spans="1:12" x14ac:dyDescent="0.3">
      <c r="A31" s="1" t="s">
        <v>1</v>
      </c>
      <c r="B31">
        <f t="shared" si="0"/>
        <v>10.156637</v>
      </c>
      <c r="C31">
        <v>10156637</v>
      </c>
      <c r="D31">
        <v>269614.43262402999</v>
      </c>
      <c r="E31">
        <f t="shared" si="1"/>
        <v>26545.640316182413</v>
      </c>
      <c r="F31">
        <v>2</v>
      </c>
      <c r="G31">
        <v>1436280.6514320001</v>
      </c>
      <c r="H31">
        <v>17011.41</v>
      </c>
      <c r="I31">
        <f t="shared" si="2"/>
        <v>1419269.2414320002</v>
      </c>
    </row>
    <row r="32" spans="1:12" x14ac:dyDescent="0.3">
      <c r="A32" s="1" t="s">
        <v>2</v>
      </c>
      <c r="B32">
        <f t="shared" si="0"/>
        <v>8.3628260000000001</v>
      </c>
      <c r="C32">
        <v>8362826</v>
      </c>
      <c r="D32">
        <v>56022.044269029997</v>
      </c>
      <c r="E32">
        <f t="shared" si="1"/>
        <v>6698.9369704726605</v>
      </c>
      <c r="F32">
        <v>2</v>
      </c>
      <c r="G32">
        <v>460184.79509999999</v>
      </c>
      <c r="H32">
        <v>16319.72</v>
      </c>
      <c r="I32">
        <f t="shared" si="2"/>
        <v>443865.07510000002</v>
      </c>
    </row>
    <row r="33" spans="1:9" x14ac:dyDescent="0.3">
      <c r="A33" s="1" t="s">
        <v>3</v>
      </c>
      <c r="B33">
        <f t="shared" si="0"/>
        <v>0.66132299999999999</v>
      </c>
      <c r="C33">
        <v>661323</v>
      </c>
      <c r="D33">
        <v>11528.933999999999</v>
      </c>
      <c r="E33">
        <f t="shared" si="1"/>
        <v>17433.136304045071</v>
      </c>
      <c r="F33">
        <v>2</v>
      </c>
      <c r="G33">
        <v>50471.287848</v>
      </c>
      <c r="H33">
        <v>1694.356</v>
      </c>
      <c r="I33">
        <f t="shared" si="2"/>
        <v>48776.931848</v>
      </c>
    </row>
    <row r="34" spans="1:9" x14ac:dyDescent="0.3">
      <c r="A34" s="1" t="s">
        <v>4</v>
      </c>
      <c r="B34">
        <f t="shared" si="0"/>
        <v>10.315241</v>
      </c>
      <c r="C34">
        <v>10315241</v>
      </c>
      <c r="D34">
        <v>2789973.223824</v>
      </c>
      <c r="E34">
        <f t="shared" si="1"/>
        <v>270470.96852356626</v>
      </c>
      <c r="F34">
        <v>2</v>
      </c>
      <c r="G34">
        <v>1066880.627208</v>
      </c>
      <c r="H34">
        <v>55921.34</v>
      </c>
      <c r="I34">
        <f t="shared" si="2"/>
        <v>1010959.2872080001</v>
      </c>
    </row>
    <row r="35" spans="1:9" ht="24" x14ac:dyDescent="0.3">
      <c r="A35" s="2" t="s">
        <v>5</v>
      </c>
      <c r="B35">
        <f t="shared" si="0"/>
        <v>81.914831000000007</v>
      </c>
      <c r="C35">
        <v>81914831</v>
      </c>
      <c r="D35">
        <v>2162605.8919607</v>
      </c>
      <c r="E35">
        <f t="shared" si="1"/>
        <v>26400.663537481996</v>
      </c>
      <c r="F35">
        <v>2</v>
      </c>
      <c r="G35">
        <v>9179162.6775119994</v>
      </c>
      <c r="H35">
        <v>206730.7</v>
      </c>
      <c r="I35">
        <f t="shared" si="2"/>
        <v>8972431.9775120001</v>
      </c>
    </row>
    <row r="36" spans="1:9" x14ac:dyDescent="0.3">
      <c r="A36" s="1" t="s">
        <v>6</v>
      </c>
      <c r="B36">
        <f t="shared" si="0"/>
        <v>5.2630739999999996</v>
      </c>
      <c r="C36">
        <v>5263074</v>
      </c>
      <c r="D36">
        <v>1487758.067</v>
      </c>
      <c r="E36">
        <f t="shared" si="1"/>
        <v>282678.5386259057</v>
      </c>
      <c r="F36">
        <v>2</v>
      </c>
      <c r="G36">
        <v>617839.29338399996</v>
      </c>
      <c r="H36">
        <v>44862.43</v>
      </c>
      <c r="I36">
        <f t="shared" si="2"/>
        <v>572976.86338399991</v>
      </c>
    </row>
    <row r="37" spans="1:9" x14ac:dyDescent="0.3">
      <c r="A37" s="1" t="s">
        <v>7</v>
      </c>
      <c r="B37">
        <f t="shared" si="0"/>
        <v>1.415594</v>
      </c>
      <c r="C37">
        <v>1415594</v>
      </c>
      <c r="D37">
        <v>8167.9526335</v>
      </c>
      <c r="E37">
        <f t="shared" si="1"/>
        <v>5769.9825186458829</v>
      </c>
      <c r="F37">
        <v>2</v>
      </c>
      <c r="G37">
        <v>124080.590952</v>
      </c>
      <c r="H37">
        <v>24251.34</v>
      </c>
      <c r="I37">
        <f t="shared" si="2"/>
        <v>99829.250952000002</v>
      </c>
    </row>
    <row r="38" spans="1:9" x14ac:dyDescent="0.3">
      <c r="A38" s="1" t="s">
        <v>8</v>
      </c>
      <c r="B38">
        <f t="shared" si="0"/>
        <v>10.6088</v>
      </c>
      <c r="C38">
        <v>10608800</v>
      </c>
      <c r="D38">
        <v>161941.98001048999</v>
      </c>
      <c r="E38">
        <f t="shared" si="1"/>
        <v>15264.872559619371</v>
      </c>
      <c r="F38">
        <v>2</v>
      </c>
      <c r="G38">
        <v>669650.27349599998</v>
      </c>
      <c r="H38">
        <v>54972.81</v>
      </c>
      <c r="I38">
        <f t="shared" si="2"/>
        <v>614677.46349600004</v>
      </c>
    </row>
    <row r="39" spans="1:9" x14ac:dyDescent="0.3">
      <c r="A39" s="1" t="s">
        <v>31</v>
      </c>
      <c r="B39">
        <f t="shared" si="0"/>
        <v>39.889851999999998</v>
      </c>
      <c r="C39">
        <v>39889852</v>
      </c>
      <c r="D39">
        <v>730911.00067749002</v>
      </c>
      <c r="E39">
        <f t="shared" si="1"/>
        <v>18323.231700069733</v>
      </c>
      <c r="F39">
        <v>2</v>
      </c>
      <c r="G39">
        <v>2616155.976816</v>
      </c>
      <c r="H39">
        <v>263237.40000000002</v>
      </c>
      <c r="I39">
        <f t="shared" si="2"/>
        <v>2352918.576816</v>
      </c>
    </row>
    <row r="40" spans="1:9" x14ac:dyDescent="0.3">
      <c r="A40" s="1" t="s">
        <v>9</v>
      </c>
      <c r="B40">
        <f t="shared" si="0"/>
        <v>5.1245729999999998</v>
      </c>
      <c r="C40">
        <v>5124573</v>
      </c>
      <c r="D40">
        <v>127544.30939525999</v>
      </c>
      <c r="E40">
        <f t="shared" si="1"/>
        <v>24888.768175467496</v>
      </c>
      <c r="F40">
        <v>2</v>
      </c>
      <c r="G40">
        <v>909440.95363200002</v>
      </c>
      <c r="H40">
        <v>244371.8</v>
      </c>
      <c r="I40">
        <f t="shared" si="2"/>
        <v>665069.15363200009</v>
      </c>
    </row>
    <row r="41" spans="1:9" x14ac:dyDescent="0.3">
      <c r="A41" s="1" t="s">
        <v>10</v>
      </c>
      <c r="B41">
        <f t="shared" si="0"/>
        <v>59.624341999999999</v>
      </c>
      <c r="C41">
        <v>59624342</v>
      </c>
      <c r="D41">
        <v>1546387.6913781001</v>
      </c>
      <c r="E41">
        <f t="shared" si="1"/>
        <v>25935.509550413153</v>
      </c>
      <c r="F41">
        <v>2</v>
      </c>
      <c r="G41">
        <v>5990456.2322519999</v>
      </c>
      <c r="H41">
        <v>628695.6</v>
      </c>
      <c r="I41">
        <f t="shared" si="2"/>
        <v>5361760.6322520003</v>
      </c>
    </row>
    <row r="42" spans="1:9" x14ac:dyDescent="0.3">
      <c r="A42" s="1" t="s">
        <v>11</v>
      </c>
      <c r="B42">
        <f t="shared" si="0"/>
        <v>4.5570969999999997</v>
      </c>
      <c r="C42">
        <v>4557097</v>
      </c>
      <c r="D42">
        <v>234113.00288967002</v>
      </c>
      <c r="E42">
        <f t="shared" si="1"/>
        <v>51373.276208443676</v>
      </c>
      <c r="F42">
        <v>2</v>
      </c>
      <c r="G42">
        <v>227908.16492400001</v>
      </c>
      <c r="H42">
        <v>77777.09</v>
      </c>
      <c r="I42">
        <f t="shared" si="2"/>
        <v>150131.07492400002</v>
      </c>
    </row>
    <row r="43" spans="1:9" x14ac:dyDescent="0.3">
      <c r="A43" s="1" t="s">
        <v>12</v>
      </c>
      <c r="B43">
        <f t="shared" si="0"/>
        <v>10.311237999999999</v>
      </c>
      <c r="C43">
        <v>10311238</v>
      </c>
      <c r="D43">
        <v>19290504.179880999</v>
      </c>
      <c r="E43">
        <f t="shared" si="1"/>
        <v>1870823.288132909</v>
      </c>
      <c r="F43">
        <v>2</v>
      </c>
      <c r="G43">
        <v>678071.89609199995</v>
      </c>
      <c r="H43">
        <v>34875.57</v>
      </c>
      <c r="I43">
        <f t="shared" si="2"/>
        <v>643196.326092</v>
      </c>
    </row>
    <row r="44" spans="1:9" x14ac:dyDescent="0.3">
      <c r="A44" s="1" t="s">
        <v>13</v>
      </c>
      <c r="B44">
        <f t="shared" si="0"/>
        <v>3.6375099999999998</v>
      </c>
      <c r="C44">
        <v>3637510</v>
      </c>
      <c r="D44">
        <v>86689.526686686993</v>
      </c>
      <c r="E44">
        <f t="shared" si="1"/>
        <v>23832.106767180572</v>
      </c>
      <c r="F44">
        <v>2</v>
      </c>
      <c r="G44">
        <v>331532.30228399998</v>
      </c>
      <c r="H44">
        <v>6414.326</v>
      </c>
      <c r="I44">
        <f t="shared" si="2"/>
        <v>325117.97628399997</v>
      </c>
    </row>
    <row r="45" spans="1:9" x14ac:dyDescent="0.3">
      <c r="A45" s="1" t="s">
        <v>14</v>
      </c>
      <c r="B45">
        <f t="shared" si="0"/>
        <v>56.860281000000001</v>
      </c>
      <c r="C45">
        <v>56860281</v>
      </c>
      <c r="D45">
        <v>1428389.4012686999</v>
      </c>
      <c r="E45">
        <f t="shared" si="1"/>
        <v>25121.040138171316</v>
      </c>
      <c r="F45">
        <v>2</v>
      </c>
      <c r="G45">
        <v>4682474.8751879996</v>
      </c>
      <c r="H45">
        <v>222366.7</v>
      </c>
      <c r="I45">
        <f t="shared" si="2"/>
        <v>4460108.1751879994</v>
      </c>
    </row>
    <row r="46" spans="1:9" x14ac:dyDescent="0.3">
      <c r="A46" s="1" t="s">
        <v>15</v>
      </c>
      <c r="B46">
        <f t="shared" si="0"/>
        <v>3.601613</v>
      </c>
      <c r="C46">
        <v>3601613</v>
      </c>
      <c r="D46">
        <v>15350.667144531</v>
      </c>
      <c r="E46">
        <f t="shared" si="1"/>
        <v>4262.1645203221451</v>
      </c>
      <c r="F46">
        <v>2</v>
      </c>
      <c r="G46">
        <v>186072.110208</v>
      </c>
      <c r="H46">
        <v>21349.01</v>
      </c>
      <c r="I46">
        <f t="shared" si="2"/>
        <v>164723.10020799999</v>
      </c>
    </row>
    <row r="47" spans="1:9" x14ac:dyDescent="0.3">
      <c r="A47" s="1" t="s">
        <v>16</v>
      </c>
      <c r="B47">
        <f t="shared" si="0"/>
        <v>0.41422500000000001</v>
      </c>
      <c r="C47">
        <v>414225</v>
      </c>
      <c r="D47">
        <v>24361.866665923</v>
      </c>
      <c r="E47">
        <f t="shared" si="1"/>
        <v>58813.124910188904</v>
      </c>
      <c r="F47">
        <v>2</v>
      </c>
      <c r="G47">
        <v>119285.61638399999</v>
      </c>
      <c r="H47">
        <v>3656.5479999999998</v>
      </c>
      <c r="I47">
        <f t="shared" si="2"/>
        <v>115629.068384</v>
      </c>
    </row>
    <row r="48" spans="1:9" x14ac:dyDescent="0.3">
      <c r="A48" s="1" t="s">
        <v>17</v>
      </c>
      <c r="B48">
        <f t="shared" si="0"/>
        <v>2.4572219999999998</v>
      </c>
      <c r="C48">
        <v>2457222</v>
      </c>
      <c r="D48">
        <v>9967.1170080351003</v>
      </c>
      <c r="E48">
        <f t="shared" si="1"/>
        <v>4056.2541797343101</v>
      </c>
      <c r="F48">
        <v>2</v>
      </c>
      <c r="G48">
        <v>157151.579868</v>
      </c>
      <c r="H48">
        <v>50328.39</v>
      </c>
      <c r="I48">
        <f t="shared" si="2"/>
        <v>106823.189868</v>
      </c>
    </row>
    <row r="49" spans="1:12" x14ac:dyDescent="0.3">
      <c r="A49" s="1" t="s">
        <v>18</v>
      </c>
      <c r="B49">
        <f t="shared" si="0"/>
        <v>0.37990499999999999</v>
      </c>
      <c r="C49">
        <v>379905</v>
      </c>
      <c r="D49" s="17">
        <v>7430.0929276689003</v>
      </c>
      <c r="E49">
        <f t="shared" si="1"/>
        <v>19557.765566836184</v>
      </c>
      <c r="F49">
        <v>2</v>
      </c>
      <c r="G49">
        <v>14538.87234</v>
      </c>
      <c r="H49">
        <v>0</v>
      </c>
      <c r="I49">
        <f t="shared" si="2"/>
        <v>14538.87234</v>
      </c>
    </row>
    <row r="50" spans="1:12" x14ac:dyDescent="0.3">
      <c r="A50" s="1" t="s">
        <v>19</v>
      </c>
      <c r="B50">
        <f t="shared" si="0"/>
        <v>15.530498</v>
      </c>
      <c r="C50">
        <v>15530498</v>
      </c>
      <c r="D50">
        <v>467231.14325999998</v>
      </c>
      <c r="E50">
        <f t="shared" si="1"/>
        <v>30084.749584977893</v>
      </c>
      <c r="F50">
        <v>2</v>
      </c>
      <c r="G50">
        <v>2155081.3192440001</v>
      </c>
      <c r="H50">
        <v>27742.720000000001</v>
      </c>
      <c r="I50">
        <f t="shared" si="2"/>
        <v>2127338.5992439999</v>
      </c>
    </row>
    <row r="51" spans="1:12" x14ac:dyDescent="0.3">
      <c r="A51" s="1" t="s">
        <v>20</v>
      </c>
      <c r="B51">
        <f t="shared" si="0"/>
        <v>38.624369999999999</v>
      </c>
      <c r="C51">
        <v>38624370</v>
      </c>
      <c r="D51">
        <v>808767.49045781989</v>
      </c>
      <c r="E51">
        <f t="shared" si="1"/>
        <v>20939.305688554141</v>
      </c>
      <c r="F51">
        <v>2</v>
      </c>
      <c r="G51">
        <v>2701395.9172439999</v>
      </c>
      <c r="H51">
        <v>158436.9</v>
      </c>
      <c r="I51">
        <f t="shared" si="2"/>
        <v>2542959.017244</v>
      </c>
    </row>
    <row r="52" spans="1:12" x14ac:dyDescent="0.3">
      <c r="A52" s="1" t="s">
        <v>21</v>
      </c>
      <c r="B52">
        <f t="shared" si="0"/>
        <v>10.063945</v>
      </c>
      <c r="C52">
        <v>10063945</v>
      </c>
      <c r="D52">
        <v>141502.91322788</v>
      </c>
      <c r="E52">
        <f t="shared" si="1"/>
        <v>14060.382208754121</v>
      </c>
      <c r="F52">
        <v>2</v>
      </c>
      <c r="G52">
        <v>583259.00493599998</v>
      </c>
      <c r="H52">
        <v>147869.20000000001</v>
      </c>
      <c r="I52">
        <f t="shared" si="2"/>
        <v>435389.80493599997</v>
      </c>
    </row>
    <row r="53" spans="1:12" x14ac:dyDescent="0.3">
      <c r="A53" s="1" t="s">
        <v>22</v>
      </c>
      <c r="B53">
        <f t="shared" si="0"/>
        <v>22.619004</v>
      </c>
      <c r="C53">
        <v>22619004</v>
      </c>
      <c r="D53">
        <v>367211.266611</v>
      </c>
      <c r="E53">
        <f t="shared" si="1"/>
        <v>16234.634673171286</v>
      </c>
      <c r="F53">
        <v>2</v>
      </c>
      <c r="G53">
        <v>1193730.3258120001</v>
      </c>
      <c r="H53">
        <v>142338.1</v>
      </c>
      <c r="I53">
        <f t="shared" si="2"/>
        <v>1051392.225812</v>
      </c>
    </row>
    <row r="54" spans="1:12" x14ac:dyDescent="0.3">
      <c r="A54" s="1" t="s">
        <v>23</v>
      </c>
      <c r="B54">
        <f t="shared" si="0"/>
        <v>8.8409980000000008</v>
      </c>
      <c r="C54">
        <v>8840998</v>
      </c>
      <c r="D54">
        <v>2447416.9208994</v>
      </c>
      <c r="E54">
        <f t="shared" si="1"/>
        <v>276825.86523596087</v>
      </c>
      <c r="F54">
        <v>2</v>
      </c>
      <c r="G54">
        <v>185729.21128799999</v>
      </c>
      <c r="H54">
        <v>456267.7</v>
      </c>
      <c r="I54">
        <f t="shared" si="2"/>
        <v>-270538.48871200002</v>
      </c>
    </row>
    <row r="55" spans="1:12" x14ac:dyDescent="0.3">
      <c r="A55" s="1" t="s">
        <v>24</v>
      </c>
      <c r="B55">
        <f t="shared" si="0"/>
        <v>1.9886280000000001</v>
      </c>
      <c r="C55">
        <v>1988628</v>
      </c>
      <c r="D55">
        <v>23478.565686999998</v>
      </c>
      <c r="E55">
        <f t="shared" si="1"/>
        <v>11806.414114153073</v>
      </c>
      <c r="F55">
        <v>2</v>
      </c>
      <c r="G55">
        <v>440081.41435199999</v>
      </c>
      <c r="H55">
        <v>20605.14</v>
      </c>
      <c r="I55">
        <f t="shared" si="2"/>
        <v>419476.27435199998</v>
      </c>
    </row>
    <row r="56" spans="1:12" x14ac:dyDescent="0.3">
      <c r="A56" s="1" t="s">
        <v>25</v>
      </c>
      <c r="B56">
        <f t="shared" si="0"/>
        <v>5.3733610000000001</v>
      </c>
      <c r="C56">
        <v>5373361</v>
      </c>
      <c r="D56">
        <v>37708.280296595003</v>
      </c>
      <c r="E56">
        <f t="shared" si="1"/>
        <v>7017.6338974051814</v>
      </c>
      <c r="F56">
        <v>2</v>
      </c>
      <c r="G56">
        <v>1455116.3528760001</v>
      </c>
      <c r="H56">
        <v>17187.400000000001</v>
      </c>
      <c r="I56">
        <f t="shared" si="2"/>
        <v>1437928.9528760002</v>
      </c>
    </row>
    <row r="57" spans="1:12" x14ac:dyDescent="0.3">
      <c r="A57" s="1" t="s">
        <v>26</v>
      </c>
      <c r="B57">
        <f t="shared" si="0"/>
        <v>58.16695</v>
      </c>
      <c r="C57">
        <v>58166950</v>
      </c>
      <c r="D57">
        <v>1412928</v>
      </c>
      <c r="E57">
        <f t="shared" si="1"/>
        <v>24290.907465493721</v>
      </c>
      <c r="F57">
        <v>2</v>
      </c>
      <c r="G57">
        <v>5823810.2041560002</v>
      </c>
      <c r="H57">
        <v>54952.71</v>
      </c>
      <c r="I57">
        <f t="shared" si="2"/>
        <v>5768857.4941560002</v>
      </c>
    </row>
    <row r="58" spans="1:12" x14ac:dyDescent="0.3">
      <c r="A58" s="13" t="s">
        <v>0</v>
      </c>
      <c r="B58">
        <f t="shared" si="0"/>
        <v>7.9680410000000004</v>
      </c>
      <c r="C58" s="8">
        <v>7968041</v>
      </c>
      <c r="D58" s="8">
        <v>229126.29676201</v>
      </c>
      <c r="E58">
        <f t="shared" si="1"/>
        <v>28755.662371969469</v>
      </c>
      <c r="F58" s="8">
        <v>3</v>
      </c>
      <c r="G58">
        <v>886383.53427599999</v>
      </c>
      <c r="H58">
        <v>220452.9</v>
      </c>
      <c r="I58">
        <f t="shared" si="2"/>
        <v>665930.63427599997</v>
      </c>
      <c r="K58" s="8"/>
      <c r="L58" s="8"/>
    </row>
    <row r="59" spans="1:12" x14ac:dyDescent="0.3">
      <c r="A59" s="1" t="s">
        <v>1</v>
      </c>
      <c r="B59">
        <f t="shared" si="0"/>
        <v>10.181245000000001</v>
      </c>
      <c r="C59">
        <v>10181245</v>
      </c>
      <c r="D59">
        <v>279842.68111751002</v>
      </c>
      <c r="E59">
        <f t="shared" si="1"/>
        <v>27486.096358304902</v>
      </c>
      <c r="F59">
        <v>3</v>
      </c>
      <c r="G59">
        <v>1415348.4517560001</v>
      </c>
      <c r="H59">
        <v>16254.97</v>
      </c>
      <c r="I59">
        <f t="shared" si="2"/>
        <v>1399093.4817560001</v>
      </c>
    </row>
    <row r="60" spans="1:12" x14ac:dyDescent="0.3">
      <c r="A60" s="1" t="s">
        <v>2</v>
      </c>
      <c r="B60">
        <f t="shared" si="0"/>
        <v>8.312068</v>
      </c>
      <c r="C60">
        <v>8312068</v>
      </c>
      <c r="D60">
        <v>48114.319242524005</v>
      </c>
      <c r="E60">
        <f t="shared" si="1"/>
        <v>5788.4896084252441</v>
      </c>
      <c r="F60">
        <v>3</v>
      </c>
      <c r="G60">
        <v>421700.31565200002</v>
      </c>
      <c r="H60">
        <v>16065.36</v>
      </c>
      <c r="I60">
        <f t="shared" si="2"/>
        <v>405634.95565200003</v>
      </c>
    </row>
    <row r="61" spans="1:12" x14ac:dyDescent="0.3">
      <c r="A61" s="1" t="s">
        <v>3</v>
      </c>
      <c r="B61">
        <f t="shared" si="0"/>
        <v>0.67076400000000003</v>
      </c>
      <c r="C61">
        <v>670764</v>
      </c>
      <c r="D61">
        <v>11833.401</v>
      </c>
      <c r="E61">
        <f t="shared" si="1"/>
        <v>17641.67576077428</v>
      </c>
      <c r="F61">
        <v>3</v>
      </c>
      <c r="G61">
        <v>50708.260728000001</v>
      </c>
      <c r="H61">
        <v>1670.366</v>
      </c>
      <c r="I61">
        <f t="shared" si="2"/>
        <v>49037.894727999999</v>
      </c>
    </row>
    <row r="62" spans="1:12" x14ac:dyDescent="0.3">
      <c r="A62" s="1" t="s">
        <v>4</v>
      </c>
      <c r="B62">
        <f t="shared" si="0"/>
        <v>10.304131</v>
      </c>
      <c r="C62">
        <v>10304131</v>
      </c>
      <c r="D62">
        <v>2775511.9265035</v>
      </c>
      <c r="E62">
        <f t="shared" si="1"/>
        <v>269359.14600692672</v>
      </c>
      <c r="F62">
        <v>3</v>
      </c>
      <c r="G62">
        <v>1052952.692724</v>
      </c>
      <c r="H62">
        <v>59475.87</v>
      </c>
      <c r="I62">
        <f t="shared" si="2"/>
        <v>993476.82272399997</v>
      </c>
    </row>
    <row r="63" spans="1:12" ht="24" x14ac:dyDescent="0.3">
      <c r="A63" s="2" t="s">
        <v>5</v>
      </c>
      <c r="B63">
        <f t="shared" si="0"/>
        <v>82.034771000000006</v>
      </c>
      <c r="C63">
        <v>82034771</v>
      </c>
      <c r="D63">
        <v>2201363.2674678997</v>
      </c>
      <c r="E63">
        <f t="shared" si="1"/>
        <v>26834.514689727112</v>
      </c>
      <c r="F63">
        <v>3</v>
      </c>
      <c r="G63">
        <v>8991557.0680679996</v>
      </c>
      <c r="H63">
        <v>253959.5</v>
      </c>
      <c r="I63">
        <f t="shared" si="2"/>
        <v>8737597.5680679996</v>
      </c>
    </row>
    <row r="64" spans="1:12" x14ac:dyDescent="0.3">
      <c r="A64" s="1" t="s">
        <v>6</v>
      </c>
      <c r="B64">
        <f t="shared" si="0"/>
        <v>5.2849909999999998</v>
      </c>
      <c r="C64">
        <v>5284991</v>
      </c>
      <c r="D64">
        <v>1536272.2239999999</v>
      </c>
      <c r="E64">
        <f t="shared" si="1"/>
        <v>290685.87325881916</v>
      </c>
      <c r="F64">
        <v>3</v>
      </c>
      <c r="G64">
        <v>602900.41417200002</v>
      </c>
      <c r="H64">
        <v>48851.39</v>
      </c>
      <c r="I64">
        <f t="shared" si="2"/>
        <v>554049.024172</v>
      </c>
    </row>
    <row r="65" spans="1:9" x14ac:dyDescent="0.3">
      <c r="A65" s="1" t="s">
        <v>7</v>
      </c>
      <c r="B65">
        <f t="shared" si="0"/>
        <v>1.399535</v>
      </c>
      <c r="C65">
        <v>1399535</v>
      </c>
      <c r="D65">
        <v>9233.8716052238997</v>
      </c>
      <c r="E65">
        <f t="shared" si="1"/>
        <v>6597.8139919501118</v>
      </c>
      <c r="F65">
        <v>3</v>
      </c>
      <c r="G65">
        <v>120930.94504799999</v>
      </c>
      <c r="H65">
        <v>23871.65</v>
      </c>
      <c r="I65">
        <f t="shared" si="2"/>
        <v>97059.295048</v>
      </c>
    </row>
    <row r="66" spans="1:9" x14ac:dyDescent="0.3">
      <c r="A66" s="1" t="s">
        <v>8</v>
      </c>
      <c r="B66">
        <f t="shared" si="0"/>
        <v>10.661258999999999</v>
      </c>
      <c r="C66">
        <v>10661259</v>
      </c>
      <c r="D66">
        <v>169203.78086998998</v>
      </c>
      <c r="E66">
        <f t="shared" si="1"/>
        <v>15870.900507153046</v>
      </c>
      <c r="F66">
        <v>3</v>
      </c>
      <c r="G66">
        <v>690657.33315600001</v>
      </c>
      <c r="H66">
        <v>54106.36</v>
      </c>
      <c r="I66">
        <f t="shared" si="2"/>
        <v>636550.97315600002</v>
      </c>
    </row>
    <row r="67" spans="1:9" x14ac:dyDescent="0.3">
      <c r="A67" s="1" t="s">
        <v>31</v>
      </c>
      <c r="B67">
        <f t="shared" ref="B67:B130" si="3">C67/1000000</f>
        <v>40.057389000000001</v>
      </c>
      <c r="C67">
        <v>40057389</v>
      </c>
      <c r="D67">
        <v>757973.56729216001</v>
      </c>
      <c r="E67">
        <f t="shared" ref="E67:E130" si="4">D67/B67</f>
        <v>18922.191041761609</v>
      </c>
      <c r="F67">
        <v>3</v>
      </c>
      <c r="G67">
        <v>2726574.5369520001</v>
      </c>
      <c r="H67">
        <v>249598.7</v>
      </c>
      <c r="I67">
        <f t="shared" ref="I67:I130" si="5">G67-H67</f>
        <v>2476975.8369519999</v>
      </c>
    </row>
    <row r="68" spans="1:9" x14ac:dyDescent="0.3">
      <c r="A68" s="1" t="s">
        <v>9</v>
      </c>
      <c r="B68">
        <f t="shared" si="3"/>
        <v>5.1398349999999997</v>
      </c>
      <c r="C68">
        <v>5139835</v>
      </c>
      <c r="D68">
        <v>135622.70532089</v>
      </c>
      <c r="E68">
        <f t="shared" si="4"/>
        <v>26386.587375059706</v>
      </c>
      <c r="F68">
        <v>3</v>
      </c>
      <c r="G68">
        <v>936726.53857199999</v>
      </c>
      <c r="H68">
        <v>270043.7</v>
      </c>
      <c r="I68">
        <f t="shared" si="5"/>
        <v>666682.83857199992</v>
      </c>
    </row>
    <row r="69" spans="1:9" x14ac:dyDescent="0.3">
      <c r="A69" s="1" t="s">
        <v>10</v>
      </c>
      <c r="B69">
        <f t="shared" si="3"/>
        <v>59.830635000000001</v>
      </c>
      <c r="C69">
        <v>59830635</v>
      </c>
      <c r="D69">
        <v>1582515.8928726001</v>
      </c>
      <c r="E69">
        <f t="shared" si="4"/>
        <v>26449.926410986613</v>
      </c>
      <c r="F69">
        <v>3</v>
      </c>
      <c r="G69">
        <v>5889252.9863879997</v>
      </c>
      <c r="H69">
        <v>588068.6</v>
      </c>
      <c r="I69">
        <f t="shared" si="5"/>
        <v>5301184.3863880001</v>
      </c>
    </row>
    <row r="70" spans="1:9" x14ac:dyDescent="0.3">
      <c r="A70" s="1" t="s">
        <v>11</v>
      </c>
      <c r="B70">
        <f t="shared" si="3"/>
        <v>4.5349199999999996</v>
      </c>
      <c r="C70">
        <v>4534920</v>
      </c>
      <c r="D70">
        <v>248468.87068523999</v>
      </c>
      <c r="E70">
        <f t="shared" si="4"/>
        <v>54790.133163372237</v>
      </c>
      <c r="F70">
        <v>3</v>
      </c>
      <c r="G70">
        <v>243780.74240399999</v>
      </c>
      <c r="H70">
        <v>71211.16</v>
      </c>
      <c r="I70">
        <f t="shared" si="5"/>
        <v>172569.58240399999</v>
      </c>
    </row>
    <row r="71" spans="1:9" x14ac:dyDescent="0.3">
      <c r="A71" s="1" t="s">
        <v>12</v>
      </c>
      <c r="B71">
        <f t="shared" si="3"/>
        <v>10.290486</v>
      </c>
      <c r="C71">
        <v>10290486</v>
      </c>
      <c r="D71">
        <v>19896829.457828999</v>
      </c>
      <c r="E71">
        <f t="shared" si="4"/>
        <v>1933516.9843124028</v>
      </c>
      <c r="F71">
        <v>3</v>
      </c>
      <c r="G71">
        <v>652233.68791199999</v>
      </c>
      <c r="H71">
        <v>34115.29</v>
      </c>
      <c r="I71">
        <f t="shared" si="5"/>
        <v>618118.39791199996</v>
      </c>
    </row>
    <row r="72" spans="1:9" x14ac:dyDescent="0.3">
      <c r="A72" s="1" t="s">
        <v>13</v>
      </c>
      <c r="B72">
        <f t="shared" si="3"/>
        <v>3.6741709999999999</v>
      </c>
      <c r="C72">
        <v>3674171</v>
      </c>
      <c r="D72">
        <v>96238.264717625003</v>
      </c>
      <c r="E72">
        <f t="shared" si="4"/>
        <v>26193.191530177828</v>
      </c>
      <c r="F72">
        <v>3</v>
      </c>
      <c r="G72">
        <v>342094.80319200002</v>
      </c>
      <c r="H72">
        <v>6502.3289999999997</v>
      </c>
      <c r="I72">
        <f t="shared" si="5"/>
        <v>335592.47419199999</v>
      </c>
    </row>
    <row r="73" spans="1:9" x14ac:dyDescent="0.3">
      <c r="A73" s="1" t="s">
        <v>14</v>
      </c>
      <c r="B73">
        <f t="shared" si="3"/>
        <v>56.890371999999999</v>
      </c>
      <c r="C73">
        <v>56890372</v>
      </c>
      <c r="D73">
        <v>1454531.9588382</v>
      </c>
      <c r="E73">
        <f t="shared" si="4"/>
        <v>25567.278042024405</v>
      </c>
      <c r="F73">
        <v>3</v>
      </c>
      <c r="G73">
        <v>4713544.0712879999</v>
      </c>
      <c r="H73">
        <v>227731.1</v>
      </c>
      <c r="I73">
        <f t="shared" si="5"/>
        <v>4485812.9712880002</v>
      </c>
    </row>
    <row r="74" spans="1:9" x14ac:dyDescent="0.3">
      <c r="A74" s="1" t="s">
        <v>15</v>
      </c>
      <c r="B74">
        <f t="shared" si="3"/>
        <v>3.5751369999999998</v>
      </c>
      <c r="C74">
        <v>3575137</v>
      </c>
      <c r="D74">
        <v>16626.448829861998</v>
      </c>
      <c r="E74">
        <f t="shared" si="4"/>
        <v>4650.5766995396261</v>
      </c>
      <c r="F74">
        <v>3</v>
      </c>
      <c r="G74">
        <v>187864.144344</v>
      </c>
      <c r="H74">
        <v>21828.9</v>
      </c>
      <c r="I74">
        <f t="shared" si="5"/>
        <v>166035.24434400001</v>
      </c>
    </row>
    <row r="75" spans="1:9" x14ac:dyDescent="0.3">
      <c r="A75" s="1" t="s">
        <v>16</v>
      </c>
      <c r="B75">
        <f t="shared" si="3"/>
        <v>0.41944999999999999</v>
      </c>
      <c r="C75">
        <v>419450</v>
      </c>
      <c r="D75">
        <v>25682.239226598998</v>
      </c>
      <c r="E75">
        <f t="shared" si="4"/>
        <v>61228.368641313624</v>
      </c>
      <c r="F75">
        <v>3</v>
      </c>
      <c r="G75">
        <v>120015.54309599999</v>
      </c>
      <c r="H75">
        <v>5264.2849999999999</v>
      </c>
      <c r="I75">
        <f t="shared" si="5"/>
        <v>114751.25809599999</v>
      </c>
    </row>
    <row r="76" spans="1:9" x14ac:dyDescent="0.3">
      <c r="A76" s="1" t="s">
        <v>17</v>
      </c>
      <c r="B76">
        <f t="shared" si="3"/>
        <v>2.4328509999999999</v>
      </c>
      <c r="C76">
        <v>2432851</v>
      </c>
      <c r="D76">
        <v>10847.902239180001</v>
      </c>
      <c r="E76">
        <f t="shared" si="4"/>
        <v>4458.925860720612</v>
      </c>
      <c r="F76">
        <v>3</v>
      </c>
      <c r="G76">
        <v>154306.98421200001</v>
      </c>
      <c r="H76">
        <v>50753.760000000002</v>
      </c>
      <c r="I76">
        <f t="shared" si="5"/>
        <v>103553.224212</v>
      </c>
    </row>
    <row r="77" spans="1:9" x14ac:dyDescent="0.3">
      <c r="A77" s="1" t="s">
        <v>18</v>
      </c>
      <c r="B77">
        <f t="shared" si="3"/>
        <v>0.38279099999999999</v>
      </c>
      <c r="C77">
        <v>382791</v>
      </c>
      <c r="D77" s="17">
        <v>7430.0929276689003</v>
      </c>
      <c r="E77">
        <f t="shared" si="4"/>
        <v>19410.31248819565</v>
      </c>
      <c r="F77">
        <v>3</v>
      </c>
      <c r="G77">
        <v>17055.683423999999</v>
      </c>
      <c r="H77">
        <v>0</v>
      </c>
      <c r="I77">
        <f t="shared" si="5"/>
        <v>17055.683423999999</v>
      </c>
    </row>
    <row r="78" spans="1:9" x14ac:dyDescent="0.3">
      <c r="A78" s="1" t="s">
        <v>19</v>
      </c>
      <c r="B78">
        <f t="shared" si="3"/>
        <v>15.61065</v>
      </c>
      <c r="C78">
        <v>15610650</v>
      </c>
      <c r="D78">
        <v>487457.82857454999</v>
      </c>
      <c r="E78">
        <f t="shared" si="4"/>
        <v>31225.978967855277</v>
      </c>
      <c r="F78">
        <v>3</v>
      </c>
      <c r="G78">
        <v>2026941.6256919999</v>
      </c>
      <c r="H78">
        <v>30556.82</v>
      </c>
      <c r="I78">
        <f t="shared" si="5"/>
        <v>1996384.8056919998</v>
      </c>
    </row>
    <row r="79" spans="1:9" x14ac:dyDescent="0.3">
      <c r="A79" s="1" t="s">
        <v>20</v>
      </c>
      <c r="B79">
        <f t="shared" si="3"/>
        <v>38.649659999999997</v>
      </c>
      <c r="C79">
        <v>38649660</v>
      </c>
      <c r="D79">
        <v>860925.41669047996</v>
      </c>
      <c r="E79">
        <f t="shared" si="4"/>
        <v>22275.109708351381</v>
      </c>
      <c r="F79">
        <v>3</v>
      </c>
      <c r="G79">
        <v>2643424.1446679998</v>
      </c>
      <c r="H79">
        <v>158139.4</v>
      </c>
      <c r="I79">
        <f t="shared" si="5"/>
        <v>2485284.7446679999</v>
      </c>
    </row>
    <row r="80" spans="1:9" x14ac:dyDescent="0.3">
      <c r="A80" s="1" t="s">
        <v>21</v>
      </c>
      <c r="B80">
        <f t="shared" si="3"/>
        <v>10.108976999999999</v>
      </c>
      <c r="C80">
        <v>10108977</v>
      </c>
      <c r="D80">
        <v>147730.26862982</v>
      </c>
      <c r="E80">
        <f t="shared" si="4"/>
        <v>14613.770377538698</v>
      </c>
      <c r="F80">
        <v>3</v>
      </c>
      <c r="G80">
        <v>606123.20347199996</v>
      </c>
      <c r="H80">
        <v>148774.9</v>
      </c>
      <c r="I80">
        <f t="shared" si="5"/>
        <v>457348.30347199994</v>
      </c>
    </row>
    <row r="81" spans="1:12" x14ac:dyDescent="0.3">
      <c r="A81" s="1" t="s">
        <v>22</v>
      </c>
      <c r="B81">
        <f t="shared" si="3"/>
        <v>22.553978000000001</v>
      </c>
      <c r="C81">
        <v>22553978</v>
      </c>
      <c r="D81">
        <v>349404.85606100003</v>
      </c>
      <c r="E81">
        <f t="shared" si="4"/>
        <v>15491.939207398358</v>
      </c>
      <c r="F81">
        <v>3</v>
      </c>
      <c r="G81">
        <v>1151213.9579640001</v>
      </c>
      <c r="H81">
        <v>181265.8</v>
      </c>
      <c r="I81">
        <f t="shared" si="5"/>
        <v>969948.15796400001</v>
      </c>
    </row>
    <row r="82" spans="1:12" x14ac:dyDescent="0.3">
      <c r="A82" s="1" t="s">
        <v>23</v>
      </c>
      <c r="B82">
        <f t="shared" si="3"/>
        <v>8.8460619999999999</v>
      </c>
      <c r="C82">
        <v>8846062</v>
      </c>
      <c r="D82">
        <v>2522565.5082962997</v>
      </c>
      <c r="E82">
        <f t="shared" si="4"/>
        <v>285162.5399297789</v>
      </c>
      <c r="F82">
        <v>3</v>
      </c>
      <c r="G82">
        <v>188686.51560000001</v>
      </c>
      <c r="H82">
        <v>506580.5</v>
      </c>
      <c r="I82">
        <f t="shared" si="5"/>
        <v>-317893.98439999996</v>
      </c>
    </row>
    <row r="83" spans="1:12" x14ac:dyDescent="0.3">
      <c r="A83" s="1" t="s">
        <v>24</v>
      </c>
      <c r="B83">
        <f t="shared" si="3"/>
        <v>1.9859560000000001</v>
      </c>
      <c r="C83">
        <v>1985956</v>
      </c>
      <c r="D83">
        <v>24664.184938999999</v>
      </c>
      <c r="E83">
        <f t="shared" si="4"/>
        <v>12419.300799715602</v>
      </c>
      <c r="F83">
        <v>3</v>
      </c>
      <c r="G83">
        <v>436442.37339600001</v>
      </c>
      <c r="H83">
        <v>19307.73</v>
      </c>
      <c r="I83">
        <f t="shared" si="5"/>
        <v>417134.64339600003</v>
      </c>
    </row>
    <row r="84" spans="1:12" x14ac:dyDescent="0.3">
      <c r="A84" s="1" t="s">
        <v>25</v>
      </c>
      <c r="B84">
        <f t="shared" si="3"/>
        <v>5.3832909999999998</v>
      </c>
      <c r="C84">
        <v>5383291</v>
      </c>
      <c r="D84">
        <v>39942.811956502999</v>
      </c>
      <c r="E84">
        <f t="shared" si="4"/>
        <v>7419.7757387633328</v>
      </c>
      <c r="F84">
        <v>3</v>
      </c>
      <c r="G84">
        <v>1422155.5605359999</v>
      </c>
      <c r="H84">
        <v>16817.8</v>
      </c>
      <c r="I84">
        <f t="shared" si="5"/>
        <v>1405337.7605359999</v>
      </c>
    </row>
    <row r="85" spans="1:12" x14ac:dyDescent="0.3">
      <c r="A85" s="1" t="s">
        <v>26</v>
      </c>
      <c r="B85">
        <f t="shared" si="3"/>
        <v>58.316954000000003</v>
      </c>
      <c r="C85">
        <v>58316954</v>
      </c>
      <c r="D85">
        <v>1482289</v>
      </c>
      <c r="E85">
        <f t="shared" si="4"/>
        <v>25417.805600752054</v>
      </c>
      <c r="F85">
        <v>3</v>
      </c>
      <c r="G85">
        <v>5684074.3306440003</v>
      </c>
      <c r="H85">
        <v>58459.55</v>
      </c>
      <c r="I85">
        <f t="shared" si="5"/>
        <v>5625614.7806440005</v>
      </c>
    </row>
    <row r="86" spans="1:12" x14ac:dyDescent="0.3">
      <c r="A86" s="13" t="s">
        <v>0</v>
      </c>
      <c r="B86">
        <f t="shared" si="3"/>
        <v>7.9767890000000001</v>
      </c>
      <c r="C86" s="8">
        <v>7976789</v>
      </c>
      <c r="D86" s="8">
        <v>237332.28510229001</v>
      </c>
      <c r="E86">
        <f t="shared" si="4"/>
        <v>29752.859841508911</v>
      </c>
      <c r="F86" s="8">
        <v>4</v>
      </c>
      <c r="G86">
        <v>908527.10079599998</v>
      </c>
      <c r="H86">
        <v>221765.6</v>
      </c>
      <c r="I86">
        <f t="shared" si="5"/>
        <v>686761.50079600001</v>
      </c>
      <c r="K86" s="8"/>
      <c r="L86" s="8"/>
    </row>
    <row r="87" spans="1:12" x14ac:dyDescent="0.3">
      <c r="A87" s="1" t="s">
        <v>1</v>
      </c>
      <c r="B87">
        <f t="shared" si="3"/>
        <v>10.203008000000001</v>
      </c>
      <c r="C87">
        <v>10203008</v>
      </c>
      <c r="D87">
        <v>285332.65798421</v>
      </c>
      <c r="E87">
        <f t="shared" si="4"/>
        <v>27965.542905014874</v>
      </c>
      <c r="F87">
        <v>4</v>
      </c>
      <c r="G87">
        <v>1442855.8952279999</v>
      </c>
      <c r="H87">
        <v>18641.07</v>
      </c>
      <c r="I87">
        <f t="shared" si="5"/>
        <v>1424214.8252279998</v>
      </c>
    </row>
    <row r="88" spans="1:12" x14ac:dyDescent="0.3">
      <c r="A88" s="1" t="s">
        <v>2</v>
      </c>
      <c r="B88">
        <f t="shared" si="3"/>
        <v>8.256786</v>
      </c>
      <c r="C88">
        <v>8256786</v>
      </c>
      <c r="D88">
        <v>49937.429530114001</v>
      </c>
      <c r="E88">
        <f t="shared" si="4"/>
        <v>6048.0469676837938</v>
      </c>
      <c r="F88">
        <v>4</v>
      </c>
      <c r="G88">
        <v>409708.81803600001</v>
      </c>
      <c r="H88">
        <v>24130.77</v>
      </c>
      <c r="I88">
        <f t="shared" si="5"/>
        <v>385578.04803599999</v>
      </c>
    </row>
    <row r="89" spans="1:12" x14ac:dyDescent="0.3">
      <c r="A89" s="1" t="s">
        <v>3</v>
      </c>
      <c r="B89">
        <f t="shared" si="3"/>
        <v>0.67903899999999995</v>
      </c>
      <c r="C89">
        <v>679039</v>
      </c>
      <c r="D89">
        <v>12556.522000000001</v>
      </c>
      <c r="E89">
        <f t="shared" si="4"/>
        <v>18491.60652039132</v>
      </c>
      <c r="F89">
        <v>4</v>
      </c>
      <c r="G89">
        <v>53065.136052000002</v>
      </c>
      <c r="H89">
        <v>1731.0740000000001</v>
      </c>
      <c r="I89">
        <f t="shared" si="5"/>
        <v>51334.062052000001</v>
      </c>
    </row>
    <row r="90" spans="1:12" x14ac:dyDescent="0.3">
      <c r="A90" s="1" t="s">
        <v>4</v>
      </c>
      <c r="B90">
        <f t="shared" si="3"/>
        <v>10.294373</v>
      </c>
      <c r="C90">
        <v>10294373</v>
      </c>
      <c r="D90">
        <v>2765615.3781002001</v>
      </c>
      <c r="E90">
        <f t="shared" si="4"/>
        <v>268653.11545445264</v>
      </c>
      <c r="F90">
        <v>4</v>
      </c>
      <c r="G90">
        <v>1013382.617904</v>
      </c>
      <c r="H90">
        <v>60467.94</v>
      </c>
      <c r="I90">
        <f t="shared" si="5"/>
        <v>952914.67790400004</v>
      </c>
    </row>
    <row r="91" spans="1:12" ht="24" x14ac:dyDescent="0.3">
      <c r="A91" s="2" t="s">
        <v>5</v>
      </c>
      <c r="B91">
        <f t="shared" si="3"/>
        <v>82.047195000000002</v>
      </c>
      <c r="C91">
        <v>82047195</v>
      </c>
      <c r="D91">
        <v>2245697.2440327001</v>
      </c>
      <c r="E91">
        <f t="shared" si="4"/>
        <v>27370.798526783274</v>
      </c>
      <c r="F91">
        <v>4</v>
      </c>
      <c r="G91">
        <v>8926672.7630879991</v>
      </c>
      <c r="H91">
        <v>271827.8</v>
      </c>
      <c r="I91">
        <f t="shared" si="5"/>
        <v>8654844.9630879983</v>
      </c>
    </row>
    <row r="92" spans="1:12" x14ac:dyDescent="0.3">
      <c r="A92" s="1" t="s">
        <v>6</v>
      </c>
      <c r="B92">
        <f t="shared" si="3"/>
        <v>5.3042189999999998</v>
      </c>
      <c r="C92">
        <v>5304219</v>
      </c>
      <c r="D92">
        <v>1570349.18</v>
      </c>
      <c r="E92">
        <f t="shared" si="4"/>
        <v>296056.62586706923</v>
      </c>
      <c r="F92">
        <v>4</v>
      </c>
      <c r="G92">
        <v>599621.73109200003</v>
      </c>
      <c r="H92">
        <v>51074.84</v>
      </c>
      <c r="I92">
        <f t="shared" si="5"/>
        <v>548546.89109200006</v>
      </c>
    </row>
    <row r="93" spans="1:12" x14ac:dyDescent="0.3">
      <c r="A93" s="1" t="s">
        <v>7</v>
      </c>
      <c r="B93">
        <f t="shared" si="3"/>
        <v>1.3861559999999999</v>
      </c>
      <c r="C93">
        <v>1386156</v>
      </c>
      <c r="D93">
        <v>9634.6062090848009</v>
      </c>
      <c r="E93">
        <f t="shared" si="4"/>
        <v>6950.5930134016671</v>
      </c>
      <c r="F93">
        <v>4</v>
      </c>
      <c r="G93">
        <v>110791.05973199999</v>
      </c>
      <c r="H93">
        <v>19661.52</v>
      </c>
      <c r="I93">
        <f t="shared" si="5"/>
        <v>91129.53973199999</v>
      </c>
    </row>
    <row r="94" spans="1:12" x14ac:dyDescent="0.3">
      <c r="A94" s="1" t="s">
        <v>8</v>
      </c>
      <c r="B94">
        <f t="shared" si="3"/>
        <v>10.720509</v>
      </c>
      <c r="C94">
        <v>10720509</v>
      </c>
      <c r="D94">
        <v>175794.10702287999</v>
      </c>
      <c r="E94">
        <f t="shared" si="4"/>
        <v>16397.925417802457</v>
      </c>
      <c r="F94">
        <v>4</v>
      </c>
      <c r="G94">
        <v>726300.90133200004</v>
      </c>
      <c r="H94">
        <v>53603.68</v>
      </c>
      <c r="I94">
        <f t="shared" si="5"/>
        <v>672697.22133199999</v>
      </c>
    </row>
    <row r="95" spans="1:12" x14ac:dyDescent="0.3">
      <c r="A95" s="1" t="s">
        <v>31</v>
      </c>
      <c r="B95">
        <f t="shared" si="3"/>
        <v>40.223509</v>
      </c>
      <c r="C95">
        <v>40223509</v>
      </c>
      <c r="D95">
        <v>791271.62921587005</v>
      </c>
      <c r="E95">
        <f t="shared" si="4"/>
        <v>19671.869732097963</v>
      </c>
      <c r="F95">
        <v>4</v>
      </c>
      <c r="G95">
        <v>2873855.861424</v>
      </c>
      <c r="H95">
        <v>256963.3</v>
      </c>
      <c r="I95">
        <f t="shared" si="5"/>
        <v>2616892.5614240002</v>
      </c>
    </row>
    <row r="96" spans="1:12" x14ac:dyDescent="0.3">
      <c r="A96" s="1" t="s">
        <v>9</v>
      </c>
      <c r="B96">
        <f t="shared" si="3"/>
        <v>5.1534979999999999</v>
      </c>
      <c r="C96">
        <v>5153498</v>
      </c>
      <c r="D96">
        <v>143023.88115013001</v>
      </c>
      <c r="E96">
        <f t="shared" si="4"/>
        <v>27752.777074936286</v>
      </c>
      <c r="F96">
        <v>4</v>
      </c>
      <c r="G96">
        <v>971675.51662799995</v>
      </c>
      <c r="H96">
        <v>296341.3</v>
      </c>
      <c r="I96">
        <f t="shared" si="5"/>
        <v>675334.21662799991</v>
      </c>
    </row>
    <row r="97" spans="1:9" x14ac:dyDescent="0.3">
      <c r="A97" s="1" t="s">
        <v>10</v>
      </c>
      <c r="B97">
        <f t="shared" si="3"/>
        <v>60.046709</v>
      </c>
      <c r="C97">
        <v>60046709</v>
      </c>
      <c r="D97">
        <v>1639306.9987836999</v>
      </c>
      <c r="E97">
        <f t="shared" si="4"/>
        <v>27300.530305227883</v>
      </c>
      <c r="F97">
        <v>4</v>
      </c>
      <c r="G97">
        <v>6042230.1591840005</v>
      </c>
      <c r="H97">
        <v>586657.4</v>
      </c>
      <c r="I97">
        <f t="shared" si="5"/>
        <v>5455572.7591840001</v>
      </c>
    </row>
    <row r="98" spans="1:9" x14ac:dyDescent="0.3">
      <c r="A98" s="1" t="s">
        <v>11</v>
      </c>
      <c r="B98">
        <f t="shared" si="3"/>
        <v>4.5321360000000004</v>
      </c>
      <c r="C98">
        <v>4532136</v>
      </c>
      <c r="D98">
        <v>253949.67840111</v>
      </c>
      <c r="E98">
        <f t="shared" si="4"/>
        <v>56033.110745377009</v>
      </c>
      <c r="F98">
        <v>4</v>
      </c>
      <c r="G98">
        <v>247385.828412</v>
      </c>
      <c r="H98">
        <v>69551.039999999994</v>
      </c>
      <c r="I98">
        <f t="shared" si="5"/>
        <v>177834.78841199999</v>
      </c>
    </row>
    <row r="99" spans="1:9" x14ac:dyDescent="0.3">
      <c r="A99" s="1" t="s">
        <v>12</v>
      </c>
      <c r="B99">
        <f t="shared" si="3"/>
        <v>10.26657</v>
      </c>
      <c r="C99">
        <v>10266570</v>
      </c>
      <c r="D99">
        <v>20672805.916313998</v>
      </c>
      <c r="E99">
        <f t="shared" si="4"/>
        <v>2013603.9511067474</v>
      </c>
      <c r="F99">
        <v>4</v>
      </c>
      <c r="G99">
        <v>654321.64507199998</v>
      </c>
      <c r="H99">
        <v>33951.1</v>
      </c>
      <c r="I99">
        <f t="shared" si="5"/>
        <v>620370.54507200001</v>
      </c>
    </row>
    <row r="100" spans="1:9" x14ac:dyDescent="0.3">
      <c r="A100" s="1" t="s">
        <v>13</v>
      </c>
      <c r="B100">
        <f t="shared" si="3"/>
        <v>3.7126960000000002</v>
      </c>
      <c r="C100">
        <v>3712696</v>
      </c>
      <c r="D100">
        <v>104666.04078921</v>
      </c>
      <c r="E100">
        <f t="shared" si="4"/>
        <v>28191.384586621149</v>
      </c>
      <c r="F100">
        <v>4</v>
      </c>
      <c r="G100">
        <v>371919.26365199999</v>
      </c>
      <c r="H100">
        <v>8471.3220000000001</v>
      </c>
      <c r="I100">
        <f t="shared" si="5"/>
        <v>363447.94165200001</v>
      </c>
    </row>
    <row r="101" spans="1:9" x14ac:dyDescent="0.3">
      <c r="A101" s="1" t="s">
        <v>14</v>
      </c>
      <c r="B101">
        <f t="shared" si="3"/>
        <v>56.906744000000003</v>
      </c>
      <c r="C101">
        <v>56906744</v>
      </c>
      <c r="D101">
        <v>1480867.9350208</v>
      </c>
      <c r="E101">
        <f t="shared" si="4"/>
        <v>26022.714197473677</v>
      </c>
      <c r="F101">
        <v>4</v>
      </c>
      <c r="G101">
        <v>4857887.6856720001</v>
      </c>
      <c r="H101">
        <v>231120.1</v>
      </c>
      <c r="I101">
        <f t="shared" si="5"/>
        <v>4626767.5856720004</v>
      </c>
    </row>
    <row r="102" spans="1:9" x14ac:dyDescent="0.3">
      <c r="A102" s="1" t="s">
        <v>15</v>
      </c>
      <c r="B102">
        <f t="shared" si="3"/>
        <v>3.549331</v>
      </c>
      <c r="C102">
        <v>3549331</v>
      </c>
      <c r="D102">
        <v>17869.402831838001</v>
      </c>
      <c r="E102">
        <f t="shared" si="4"/>
        <v>5034.5833712995491</v>
      </c>
      <c r="F102">
        <v>4</v>
      </c>
      <c r="G102">
        <v>186010.73172000001</v>
      </c>
      <c r="H102">
        <v>24044.85</v>
      </c>
      <c r="I102">
        <f t="shared" si="5"/>
        <v>161965.88172</v>
      </c>
    </row>
    <row r="103" spans="1:9" x14ac:dyDescent="0.3">
      <c r="A103" s="1" t="s">
        <v>16</v>
      </c>
      <c r="B103">
        <f t="shared" si="3"/>
        <v>0.42470000000000002</v>
      </c>
      <c r="C103">
        <v>424700</v>
      </c>
      <c r="D103">
        <v>27396.403414366003</v>
      </c>
      <c r="E103">
        <f t="shared" si="4"/>
        <v>64507.66050003768</v>
      </c>
      <c r="F103">
        <v>4</v>
      </c>
      <c r="G103">
        <v>120248.538516</v>
      </c>
      <c r="H103">
        <v>8092.7489999999998</v>
      </c>
      <c r="I103">
        <f t="shared" si="5"/>
        <v>112155.789516</v>
      </c>
    </row>
    <row r="104" spans="1:9" x14ac:dyDescent="0.3">
      <c r="A104" s="1" t="s">
        <v>17</v>
      </c>
      <c r="B104">
        <f t="shared" si="3"/>
        <v>2.4100190000000001</v>
      </c>
      <c r="C104">
        <v>2410019</v>
      </c>
      <c r="D104">
        <v>11535.217939288001</v>
      </c>
      <c r="E104">
        <f t="shared" si="4"/>
        <v>4786.3597503953288</v>
      </c>
      <c r="F104">
        <v>4</v>
      </c>
      <c r="G104">
        <v>149177.86113599999</v>
      </c>
      <c r="H104">
        <v>52732.6</v>
      </c>
      <c r="I104">
        <f t="shared" si="5"/>
        <v>96445.261135999986</v>
      </c>
    </row>
    <row r="105" spans="1:9" x14ac:dyDescent="0.3">
      <c r="A105" s="1" t="s">
        <v>18</v>
      </c>
      <c r="B105">
        <f t="shared" si="3"/>
        <v>0.38528699999999999</v>
      </c>
      <c r="C105">
        <v>385287</v>
      </c>
      <c r="D105" s="17">
        <v>7430.0929276689003</v>
      </c>
      <c r="E105">
        <f t="shared" si="4"/>
        <v>19284.566901216236</v>
      </c>
      <c r="F105">
        <v>4</v>
      </c>
      <c r="G105">
        <v>15556.306608000001</v>
      </c>
      <c r="H105">
        <v>0</v>
      </c>
      <c r="I105">
        <f t="shared" si="5"/>
        <v>15556.306608000001</v>
      </c>
    </row>
    <row r="106" spans="1:9" x14ac:dyDescent="0.3">
      <c r="A106" s="1" t="s">
        <v>19</v>
      </c>
      <c r="B106">
        <f t="shared" si="3"/>
        <v>15.707209000000001</v>
      </c>
      <c r="C106">
        <v>15707209</v>
      </c>
      <c r="D106">
        <v>510192.45825512998</v>
      </c>
      <c r="E106">
        <f t="shared" si="4"/>
        <v>32481.420362785644</v>
      </c>
      <c r="F106">
        <v>4</v>
      </c>
      <c r="G106">
        <v>2022455.595096</v>
      </c>
      <c r="H106">
        <v>31763.02</v>
      </c>
      <c r="I106">
        <f t="shared" si="5"/>
        <v>1990692.575096</v>
      </c>
    </row>
    <row r="107" spans="1:9" x14ac:dyDescent="0.3">
      <c r="A107" s="1" t="s">
        <v>20</v>
      </c>
      <c r="B107">
        <f t="shared" si="3"/>
        <v>38.663480999999997</v>
      </c>
      <c r="C107">
        <v>38663481</v>
      </c>
      <c r="D107">
        <v>900877.78980040003</v>
      </c>
      <c r="E107">
        <f t="shared" si="4"/>
        <v>23300.483207924295</v>
      </c>
      <c r="F107">
        <v>4</v>
      </c>
      <c r="G107">
        <v>2441847.0580199999</v>
      </c>
      <c r="H107">
        <v>159618.79999999999</v>
      </c>
      <c r="I107">
        <f t="shared" si="5"/>
        <v>2282228.2580200001</v>
      </c>
    </row>
    <row r="108" spans="1:9" x14ac:dyDescent="0.3">
      <c r="A108" s="1" t="s">
        <v>21</v>
      </c>
      <c r="B108">
        <f t="shared" si="3"/>
        <v>10.160195999999999</v>
      </c>
      <c r="C108">
        <v>10160196</v>
      </c>
      <c r="D108">
        <v>154833.08599195001</v>
      </c>
      <c r="E108">
        <f t="shared" si="4"/>
        <v>15239.182983472958</v>
      </c>
      <c r="F108">
        <v>4</v>
      </c>
      <c r="G108">
        <v>645985.391328</v>
      </c>
      <c r="H108">
        <v>144909</v>
      </c>
      <c r="I108">
        <f t="shared" si="5"/>
        <v>501076.391328</v>
      </c>
    </row>
    <row r="109" spans="1:9" x14ac:dyDescent="0.3">
      <c r="A109" s="1" t="s">
        <v>22</v>
      </c>
      <c r="B109">
        <f t="shared" si="3"/>
        <v>22.507344</v>
      </c>
      <c r="C109">
        <v>22507344</v>
      </c>
      <c r="D109">
        <v>342312.65040300001</v>
      </c>
      <c r="E109">
        <f t="shared" si="4"/>
        <v>15208.931378264802</v>
      </c>
      <c r="F109">
        <v>4</v>
      </c>
      <c r="G109">
        <v>1051060.1335199999</v>
      </c>
      <c r="H109">
        <v>171061.5</v>
      </c>
      <c r="I109">
        <f t="shared" si="5"/>
        <v>879998.63351999992</v>
      </c>
    </row>
    <row r="110" spans="1:9" x14ac:dyDescent="0.3">
      <c r="A110" s="1" t="s">
        <v>23</v>
      </c>
      <c r="B110">
        <f t="shared" si="3"/>
        <v>8.8509740000000008</v>
      </c>
      <c r="C110">
        <v>8850974</v>
      </c>
      <c r="D110">
        <v>2631334.4049179</v>
      </c>
      <c r="E110">
        <f t="shared" si="4"/>
        <v>297293.20241115836</v>
      </c>
      <c r="F110">
        <v>4</v>
      </c>
      <c r="G110">
        <v>181452.85563599999</v>
      </c>
      <c r="H110">
        <v>511554.1</v>
      </c>
      <c r="I110">
        <f t="shared" si="5"/>
        <v>-330101.24436399998</v>
      </c>
    </row>
    <row r="111" spans="1:9" x14ac:dyDescent="0.3">
      <c r="A111" s="1" t="s">
        <v>24</v>
      </c>
      <c r="B111">
        <f t="shared" si="3"/>
        <v>1.9816290000000001</v>
      </c>
      <c r="C111">
        <v>1981629</v>
      </c>
      <c r="D111">
        <v>25473.014440999999</v>
      </c>
      <c r="E111">
        <f t="shared" si="4"/>
        <v>12854.582992578327</v>
      </c>
      <c r="F111">
        <v>4</v>
      </c>
      <c r="G111">
        <v>428416.69647600001</v>
      </c>
      <c r="H111">
        <v>20120.310000000001</v>
      </c>
      <c r="I111">
        <f t="shared" si="5"/>
        <v>408296.38647600001</v>
      </c>
    </row>
    <row r="112" spans="1:9" x14ac:dyDescent="0.3">
      <c r="A112" s="1" t="s">
        <v>25</v>
      </c>
      <c r="B112">
        <f t="shared" si="3"/>
        <v>5.3905159999999999</v>
      </c>
      <c r="C112">
        <v>5390516</v>
      </c>
      <c r="D112">
        <v>41570.920184511</v>
      </c>
      <c r="E112">
        <f t="shared" si="4"/>
        <v>7711.8628688813833</v>
      </c>
      <c r="F112">
        <v>4</v>
      </c>
      <c r="G112">
        <v>1434616.314696</v>
      </c>
      <c r="H112">
        <v>15554.05</v>
      </c>
      <c r="I112">
        <f t="shared" si="5"/>
        <v>1419062.2646959999</v>
      </c>
    </row>
    <row r="113" spans="1:12" x14ac:dyDescent="0.3">
      <c r="A113" s="1" t="s">
        <v>26</v>
      </c>
      <c r="B113">
        <f t="shared" si="3"/>
        <v>58.487141000000001</v>
      </c>
      <c r="C113">
        <v>58487141</v>
      </c>
      <c r="D113">
        <v>1529040</v>
      </c>
      <c r="E113">
        <f t="shared" si="4"/>
        <v>26143.182481769796</v>
      </c>
      <c r="F113">
        <v>4</v>
      </c>
      <c r="G113">
        <v>5694085.0531799998</v>
      </c>
      <c r="H113">
        <v>58632.24</v>
      </c>
      <c r="I113">
        <f t="shared" si="5"/>
        <v>5635452.8131799996</v>
      </c>
    </row>
    <row r="114" spans="1:12" x14ac:dyDescent="0.3">
      <c r="A114" s="13" t="s">
        <v>0</v>
      </c>
      <c r="B114">
        <f t="shared" si="3"/>
        <v>7.992324</v>
      </c>
      <c r="C114" s="8">
        <v>7992324</v>
      </c>
      <c r="D114" s="8">
        <v>245772.60731575001</v>
      </c>
      <c r="E114">
        <f t="shared" si="4"/>
        <v>30751.081577242116</v>
      </c>
      <c r="F114" s="8">
        <v>5</v>
      </c>
      <c r="G114">
        <v>917290.45000800001</v>
      </c>
      <c r="H114">
        <v>242516.1</v>
      </c>
      <c r="I114">
        <f t="shared" si="5"/>
        <v>674774.35000800004</v>
      </c>
      <c r="K114" s="8"/>
      <c r="L114" s="8"/>
    </row>
    <row r="115" spans="1:12" x14ac:dyDescent="0.3">
      <c r="A115" s="1" t="s">
        <v>1</v>
      </c>
      <c r="B115">
        <f t="shared" si="3"/>
        <v>10.226419</v>
      </c>
      <c r="C115">
        <v>10226419</v>
      </c>
      <c r="D115">
        <v>295441.26207454997</v>
      </c>
      <c r="E115">
        <f t="shared" si="4"/>
        <v>28890.001678451663</v>
      </c>
      <c r="F115">
        <v>5</v>
      </c>
      <c r="G115">
        <v>1432361.974104</v>
      </c>
      <c r="H115">
        <v>20062.39</v>
      </c>
      <c r="I115">
        <f t="shared" si="5"/>
        <v>1412299.5841040001</v>
      </c>
    </row>
    <row r="116" spans="1:12" x14ac:dyDescent="0.3">
      <c r="A116" s="1" t="s">
        <v>2</v>
      </c>
      <c r="B116">
        <f t="shared" si="3"/>
        <v>8.2106239999999993</v>
      </c>
      <c r="C116">
        <v>8210624</v>
      </c>
      <c r="D116">
        <v>45744.637423304004</v>
      </c>
      <c r="E116">
        <f t="shared" si="4"/>
        <v>5571.3959649478538</v>
      </c>
      <c r="F116">
        <v>5</v>
      </c>
      <c r="G116">
        <v>359744.426064</v>
      </c>
      <c r="H116">
        <v>23842.09</v>
      </c>
      <c r="I116">
        <f t="shared" si="5"/>
        <v>335902.33606399997</v>
      </c>
    </row>
    <row r="117" spans="1:12" x14ac:dyDescent="0.3">
      <c r="A117" s="1" t="s">
        <v>3</v>
      </c>
      <c r="B117">
        <f t="shared" si="3"/>
        <v>0.68667999999999996</v>
      </c>
      <c r="C117">
        <v>686680</v>
      </c>
      <c r="D117">
        <v>13184.092000000001</v>
      </c>
      <c r="E117">
        <f t="shared" si="4"/>
        <v>19199.761169686026</v>
      </c>
      <c r="F117">
        <v>5</v>
      </c>
      <c r="G117">
        <v>54617.392152</v>
      </c>
      <c r="H117">
        <v>1762.308</v>
      </c>
      <c r="I117">
        <f t="shared" si="5"/>
        <v>52855.084152000003</v>
      </c>
    </row>
    <row r="118" spans="1:12" x14ac:dyDescent="0.3">
      <c r="A118" s="1" t="s">
        <v>4</v>
      </c>
      <c r="B118">
        <f t="shared" si="3"/>
        <v>10.283860000000001</v>
      </c>
      <c r="C118">
        <v>10283860</v>
      </c>
      <c r="D118">
        <v>2803895.6141355</v>
      </c>
      <c r="E118">
        <f t="shared" si="4"/>
        <v>272650.11524228257</v>
      </c>
      <c r="F118">
        <v>5</v>
      </c>
      <c r="G118">
        <v>976938.70103999996</v>
      </c>
      <c r="H118">
        <v>63277.78</v>
      </c>
      <c r="I118">
        <f t="shared" si="5"/>
        <v>913660.92103999993</v>
      </c>
    </row>
    <row r="119" spans="1:12" ht="24" x14ac:dyDescent="0.3">
      <c r="A119" s="2" t="s">
        <v>5</v>
      </c>
      <c r="B119">
        <f t="shared" si="3"/>
        <v>82.100243000000006</v>
      </c>
      <c r="C119">
        <v>82100243</v>
      </c>
      <c r="D119">
        <v>2288079.4157556002</v>
      </c>
      <c r="E119">
        <f t="shared" si="4"/>
        <v>27869.337923343297</v>
      </c>
      <c r="F119">
        <v>5</v>
      </c>
      <c r="G119">
        <v>8754047.1472319998</v>
      </c>
      <c r="H119">
        <v>285706.90000000002</v>
      </c>
      <c r="I119">
        <f t="shared" si="5"/>
        <v>8468340.2472319994</v>
      </c>
    </row>
    <row r="120" spans="1:12" x14ac:dyDescent="0.3">
      <c r="A120" s="1" t="s">
        <v>6</v>
      </c>
      <c r="B120">
        <f t="shared" si="3"/>
        <v>5.3217990000000004</v>
      </c>
      <c r="C120">
        <v>5321799</v>
      </c>
      <c r="D120">
        <v>1616643.422</v>
      </c>
      <c r="E120">
        <f t="shared" si="4"/>
        <v>303777.61768153962</v>
      </c>
      <c r="F120">
        <v>5</v>
      </c>
      <c r="G120">
        <v>596147.06390399998</v>
      </c>
      <c r="H120">
        <v>54048.800000000003</v>
      </c>
      <c r="I120">
        <f t="shared" si="5"/>
        <v>542098.26390399993</v>
      </c>
    </row>
    <row r="121" spans="1:12" x14ac:dyDescent="0.3">
      <c r="A121" s="1" t="s">
        <v>7</v>
      </c>
      <c r="B121">
        <f t="shared" si="3"/>
        <v>1.390244</v>
      </c>
      <c r="C121">
        <v>1390244</v>
      </c>
      <c r="D121">
        <v>9593.6564577230001</v>
      </c>
      <c r="E121">
        <f t="shared" si="4"/>
        <v>6900.6997748042786</v>
      </c>
      <c r="F121">
        <v>5</v>
      </c>
      <c r="G121">
        <v>100730.179332</v>
      </c>
      <c r="H121">
        <v>20215.900000000001</v>
      </c>
      <c r="I121">
        <f t="shared" si="5"/>
        <v>80514.279332000006</v>
      </c>
    </row>
    <row r="122" spans="1:12" x14ac:dyDescent="0.3">
      <c r="A122" s="1" t="s">
        <v>8</v>
      </c>
      <c r="B122">
        <f t="shared" si="3"/>
        <v>10.761698000000001</v>
      </c>
      <c r="C122">
        <v>10761698</v>
      </c>
      <c r="D122">
        <v>181195.55089751002</v>
      </c>
      <c r="E122">
        <f t="shared" si="4"/>
        <v>16837.078209917247</v>
      </c>
      <c r="F122">
        <v>5</v>
      </c>
      <c r="G122">
        <v>719478.38512800005</v>
      </c>
      <c r="H122">
        <v>56364.37</v>
      </c>
      <c r="I122">
        <f t="shared" si="5"/>
        <v>663114.01512800006</v>
      </c>
    </row>
    <row r="123" spans="1:12" x14ac:dyDescent="0.3">
      <c r="A123" s="1" t="s">
        <v>31</v>
      </c>
      <c r="B123">
        <f t="shared" si="3"/>
        <v>40.386875000000003</v>
      </c>
      <c r="C123">
        <v>40386875</v>
      </c>
      <c r="D123">
        <v>826803.61300809996</v>
      </c>
      <c r="E123">
        <f t="shared" si="4"/>
        <v>20472.086860102445</v>
      </c>
      <c r="F123">
        <v>5</v>
      </c>
      <c r="G123">
        <v>2981686.8535560002</v>
      </c>
      <c r="H123">
        <v>229042.9</v>
      </c>
      <c r="I123">
        <f t="shared" si="5"/>
        <v>2752643.9535560003</v>
      </c>
    </row>
    <row r="124" spans="1:12" x14ac:dyDescent="0.3">
      <c r="A124" s="1" t="s">
        <v>9</v>
      </c>
      <c r="B124">
        <f t="shared" si="3"/>
        <v>5.1654739999999997</v>
      </c>
      <c r="C124">
        <v>5165474</v>
      </c>
      <c r="D124">
        <v>149287.72032671</v>
      </c>
      <c r="E124">
        <f t="shared" si="4"/>
        <v>28901.06896805792</v>
      </c>
      <c r="F124">
        <v>5</v>
      </c>
      <c r="G124">
        <v>975986.58085200004</v>
      </c>
      <c r="H124">
        <v>295100.09999999998</v>
      </c>
      <c r="I124">
        <f t="shared" si="5"/>
        <v>680886.48085200007</v>
      </c>
    </row>
    <row r="125" spans="1:12" x14ac:dyDescent="0.3">
      <c r="A125" s="1" t="s">
        <v>10</v>
      </c>
      <c r="B125">
        <f t="shared" si="3"/>
        <v>60.351778000000003</v>
      </c>
      <c r="C125">
        <v>60351778</v>
      </c>
      <c r="D125">
        <v>1695393.8192395</v>
      </c>
      <c r="E125">
        <f t="shared" si="4"/>
        <v>28091.862003460774</v>
      </c>
      <c r="F125">
        <v>5</v>
      </c>
      <c r="G125">
        <v>6071382.8475839999</v>
      </c>
      <c r="H125">
        <v>593721.4</v>
      </c>
      <c r="I125">
        <f t="shared" si="5"/>
        <v>5477661.4475839995</v>
      </c>
    </row>
    <row r="126" spans="1:12" x14ac:dyDescent="0.3">
      <c r="A126" s="1" t="s">
        <v>11</v>
      </c>
      <c r="B126">
        <f t="shared" si="3"/>
        <v>4.5125979999999997</v>
      </c>
      <c r="C126">
        <v>4512598</v>
      </c>
      <c r="D126">
        <v>251723.93930664999</v>
      </c>
      <c r="E126">
        <f t="shared" si="4"/>
        <v>55782.487007850024</v>
      </c>
      <c r="F126">
        <v>5</v>
      </c>
      <c r="G126">
        <v>254344.08067200001</v>
      </c>
      <c r="H126">
        <v>70735.23</v>
      </c>
      <c r="I126">
        <f t="shared" si="5"/>
        <v>183608.85067200003</v>
      </c>
    </row>
    <row r="127" spans="1:12" x14ac:dyDescent="0.3">
      <c r="A127" s="1" t="s">
        <v>12</v>
      </c>
      <c r="B127">
        <f t="shared" si="3"/>
        <v>10.23753</v>
      </c>
      <c r="C127">
        <v>10237530</v>
      </c>
      <c r="D127">
        <v>21307673.36115</v>
      </c>
      <c r="E127">
        <f t="shared" si="4"/>
        <v>2081329.5161186343</v>
      </c>
      <c r="F127">
        <v>5</v>
      </c>
      <c r="G127">
        <v>664797.22801199998</v>
      </c>
      <c r="H127">
        <v>34293.379999999997</v>
      </c>
      <c r="I127">
        <f t="shared" si="5"/>
        <v>630503.84801199997</v>
      </c>
    </row>
    <row r="128" spans="1:12" x14ac:dyDescent="0.3">
      <c r="A128" s="1" t="s">
        <v>13</v>
      </c>
      <c r="B128">
        <f t="shared" si="3"/>
        <v>3.7547860000000002</v>
      </c>
      <c r="C128">
        <v>3754786</v>
      </c>
      <c r="D128">
        <v>115679.56855367999</v>
      </c>
      <c r="E128">
        <f t="shared" si="4"/>
        <v>30808.565003086722</v>
      </c>
      <c r="F128">
        <v>5</v>
      </c>
      <c r="G128">
        <v>393949.57723200001</v>
      </c>
      <c r="H128">
        <v>8102.9440000000004</v>
      </c>
      <c r="I128">
        <f t="shared" si="5"/>
        <v>385846.63323199999</v>
      </c>
    </row>
    <row r="129" spans="1:12" x14ac:dyDescent="0.3">
      <c r="A129" s="1" t="s">
        <v>14</v>
      </c>
      <c r="B129">
        <f t="shared" si="3"/>
        <v>56.916316999999999</v>
      </c>
      <c r="C129">
        <v>56916317</v>
      </c>
      <c r="D129">
        <v>1504942.8137504</v>
      </c>
      <c r="E129">
        <f t="shared" si="4"/>
        <v>26441.324616109647</v>
      </c>
      <c r="F129">
        <v>5</v>
      </c>
      <c r="G129">
        <v>5035801.3974000001</v>
      </c>
      <c r="H129">
        <v>252921.1</v>
      </c>
      <c r="I129">
        <f t="shared" si="5"/>
        <v>4782880.2974000005</v>
      </c>
    </row>
    <row r="130" spans="1:12" x14ac:dyDescent="0.3">
      <c r="A130" s="1" t="s">
        <v>15</v>
      </c>
      <c r="B130">
        <f t="shared" si="3"/>
        <v>3.524238</v>
      </c>
      <c r="C130">
        <v>3524238</v>
      </c>
      <c r="D130">
        <v>17665.410739131999</v>
      </c>
      <c r="E130">
        <f t="shared" si="4"/>
        <v>5012.5476029519004</v>
      </c>
      <c r="F130">
        <v>5</v>
      </c>
      <c r="G130">
        <v>168504.29740800001</v>
      </c>
      <c r="H130">
        <v>25230.61</v>
      </c>
      <c r="I130">
        <f t="shared" si="5"/>
        <v>143273.687408</v>
      </c>
    </row>
    <row r="131" spans="1:12" x14ac:dyDescent="0.3">
      <c r="A131" s="1" t="s">
        <v>16</v>
      </c>
      <c r="B131">
        <f t="shared" ref="B131:B194" si="6">C131/1000000</f>
        <v>0.430475</v>
      </c>
      <c r="C131">
        <v>430475</v>
      </c>
      <c r="D131">
        <v>29636.109135157003</v>
      </c>
      <c r="E131">
        <f t="shared" ref="E131:E194" si="7">D131/B131</f>
        <v>68845.134177726941</v>
      </c>
      <c r="F131">
        <v>5</v>
      </c>
      <c r="G131">
        <v>125477.97732000001</v>
      </c>
      <c r="H131">
        <v>7356.991</v>
      </c>
      <c r="I131">
        <f t="shared" ref="I131:I194" si="8">G131-H131</f>
        <v>118120.98632000001</v>
      </c>
    </row>
    <row r="132" spans="1:12" x14ac:dyDescent="0.3">
      <c r="A132" s="1" t="s">
        <v>17</v>
      </c>
      <c r="B132">
        <f t="shared" si="6"/>
        <v>2.390482</v>
      </c>
      <c r="C132">
        <v>2390482</v>
      </c>
      <c r="D132">
        <v>11853.149316837</v>
      </c>
      <c r="E132">
        <f t="shared" si="7"/>
        <v>4958.4767075581412</v>
      </c>
      <c r="F132">
        <v>5</v>
      </c>
      <c r="G132">
        <v>140588.13852000001</v>
      </c>
      <c r="H132">
        <v>51077.26</v>
      </c>
      <c r="I132">
        <f t="shared" si="8"/>
        <v>89510.878519999998</v>
      </c>
    </row>
    <row r="133" spans="1:12" x14ac:dyDescent="0.3">
      <c r="A133" s="1" t="s">
        <v>18</v>
      </c>
      <c r="B133">
        <f t="shared" si="6"/>
        <v>0.38757799999999998</v>
      </c>
      <c r="C133">
        <v>387578</v>
      </c>
      <c r="D133" s="17">
        <v>7430.0929276689003</v>
      </c>
      <c r="E133">
        <f t="shared" si="7"/>
        <v>19170.574510598901</v>
      </c>
      <c r="F133">
        <v>5</v>
      </c>
      <c r="G133">
        <v>15450.589908</v>
      </c>
      <c r="H133">
        <v>0</v>
      </c>
      <c r="I133">
        <f t="shared" si="8"/>
        <v>15450.589908</v>
      </c>
    </row>
    <row r="134" spans="1:12" x14ac:dyDescent="0.3">
      <c r="A134" s="1" t="s">
        <v>19</v>
      </c>
      <c r="B134">
        <f t="shared" si="6"/>
        <v>15.812087999999999</v>
      </c>
      <c r="C134">
        <v>15812088</v>
      </c>
      <c r="D134">
        <v>535875.79206428002</v>
      </c>
      <c r="E134">
        <f t="shared" si="7"/>
        <v>33890.261176403779</v>
      </c>
      <c r="F134">
        <v>5</v>
      </c>
      <c r="G134">
        <v>2018303.1268559999</v>
      </c>
      <c r="H134">
        <v>33384.639999999999</v>
      </c>
      <c r="I134">
        <f t="shared" si="8"/>
        <v>1984918.486856</v>
      </c>
    </row>
    <row r="135" spans="1:12" x14ac:dyDescent="0.3">
      <c r="A135" s="1" t="s">
        <v>20</v>
      </c>
      <c r="B135">
        <f t="shared" si="6"/>
        <v>38.660271000000002</v>
      </c>
      <c r="C135">
        <v>38660271</v>
      </c>
      <c r="D135">
        <v>942812.07862368005</v>
      </c>
      <c r="E135">
        <f t="shared" si="7"/>
        <v>24387.104752154479</v>
      </c>
      <c r="F135">
        <v>5</v>
      </c>
      <c r="G135">
        <v>2386349.3074320001</v>
      </c>
      <c r="H135">
        <v>152966</v>
      </c>
      <c r="I135">
        <f t="shared" si="8"/>
        <v>2233383.3074320001</v>
      </c>
    </row>
    <row r="136" spans="1:12" x14ac:dyDescent="0.3">
      <c r="A136" s="1" t="s">
        <v>21</v>
      </c>
      <c r="B136">
        <f t="shared" si="6"/>
        <v>10.217828000000001</v>
      </c>
      <c r="C136">
        <v>10217828</v>
      </c>
      <c r="D136">
        <v>160881.75992339003</v>
      </c>
      <c r="E136">
        <f t="shared" si="7"/>
        <v>15745.201418871997</v>
      </c>
      <c r="F136">
        <v>5</v>
      </c>
      <c r="G136">
        <v>670504.54816799995</v>
      </c>
      <c r="H136">
        <v>127512.4</v>
      </c>
      <c r="I136">
        <f t="shared" si="8"/>
        <v>542992.14816799993</v>
      </c>
    </row>
    <row r="137" spans="1:12" x14ac:dyDescent="0.3">
      <c r="A137" s="1" t="s">
        <v>22</v>
      </c>
      <c r="B137">
        <f t="shared" si="6"/>
        <v>22.47204</v>
      </c>
      <c r="C137">
        <v>22472040</v>
      </c>
      <c r="D137">
        <v>341023.232701</v>
      </c>
      <c r="E137">
        <f t="shared" si="7"/>
        <v>15175.446141115804</v>
      </c>
      <c r="F137">
        <v>5</v>
      </c>
      <c r="G137">
        <v>913124.33279999997</v>
      </c>
      <c r="H137">
        <v>161933.20000000001</v>
      </c>
      <c r="I137">
        <f t="shared" si="8"/>
        <v>751191.13280000002</v>
      </c>
    </row>
    <row r="138" spans="1:12" x14ac:dyDescent="0.3">
      <c r="A138" s="1" t="s">
        <v>23</v>
      </c>
      <c r="B138">
        <f t="shared" si="6"/>
        <v>8.8578740000000007</v>
      </c>
      <c r="C138">
        <v>8857874</v>
      </c>
      <c r="D138">
        <v>2743092.0225307001</v>
      </c>
      <c r="E138">
        <f t="shared" si="7"/>
        <v>309678.37457731954</v>
      </c>
      <c r="F138">
        <v>5</v>
      </c>
      <c r="G138">
        <v>183146.12315999999</v>
      </c>
      <c r="H138">
        <v>492058.1</v>
      </c>
      <c r="I138">
        <f t="shared" si="8"/>
        <v>-308911.97684000002</v>
      </c>
    </row>
    <row r="139" spans="1:12" x14ac:dyDescent="0.3">
      <c r="A139" s="1" t="s">
        <v>24</v>
      </c>
      <c r="B139">
        <f t="shared" si="6"/>
        <v>1.9830449999999999</v>
      </c>
      <c r="C139">
        <v>1983045</v>
      </c>
      <c r="D139">
        <v>26831.405374999998</v>
      </c>
      <c r="E139">
        <f t="shared" si="7"/>
        <v>13530.406710387308</v>
      </c>
      <c r="F139">
        <v>5</v>
      </c>
      <c r="G139">
        <v>421691.94205200003</v>
      </c>
      <c r="H139">
        <v>20055.11</v>
      </c>
      <c r="I139">
        <f t="shared" si="8"/>
        <v>401636.83205200004</v>
      </c>
    </row>
    <row r="140" spans="1:12" x14ac:dyDescent="0.3">
      <c r="A140" s="1" t="s">
        <v>25</v>
      </c>
      <c r="B140">
        <f t="shared" si="6"/>
        <v>5.39602</v>
      </c>
      <c r="C140">
        <v>5396020</v>
      </c>
      <c r="D140">
        <v>41526.889382638998</v>
      </c>
      <c r="E140">
        <f t="shared" si="7"/>
        <v>7695.8368172540122</v>
      </c>
      <c r="F140">
        <v>5</v>
      </c>
      <c r="G140">
        <v>1414274.998104</v>
      </c>
      <c r="H140">
        <v>16015.63</v>
      </c>
      <c r="I140">
        <f t="shared" si="8"/>
        <v>1398259.3681040001</v>
      </c>
    </row>
    <row r="141" spans="1:12" x14ac:dyDescent="0.3">
      <c r="A141" s="1" t="s">
        <v>26</v>
      </c>
      <c r="B141">
        <f t="shared" si="6"/>
        <v>58.682465999999998</v>
      </c>
      <c r="C141">
        <v>58682466</v>
      </c>
      <c r="D141">
        <v>1574760</v>
      </c>
      <c r="E141">
        <f t="shared" si="7"/>
        <v>26835.273077992326</v>
      </c>
      <c r="F141">
        <v>5</v>
      </c>
      <c r="G141">
        <v>5798368.2347280001</v>
      </c>
      <c r="H141">
        <v>55021.74</v>
      </c>
      <c r="I141">
        <f t="shared" si="8"/>
        <v>5743346.4947279999</v>
      </c>
    </row>
    <row r="142" spans="1:12" x14ac:dyDescent="0.3">
      <c r="A142" s="13" t="s">
        <v>0</v>
      </c>
      <c r="B142">
        <f t="shared" si="6"/>
        <v>8.0115660000000002</v>
      </c>
      <c r="C142" s="8">
        <v>8011566</v>
      </c>
      <c r="D142" s="8">
        <v>254069.20765237001</v>
      </c>
      <c r="E142">
        <f t="shared" si="7"/>
        <v>31712.802172804917</v>
      </c>
      <c r="F142" s="8">
        <v>6</v>
      </c>
      <c r="G142">
        <v>918644.54486400005</v>
      </c>
      <c r="H142">
        <v>242410.6</v>
      </c>
      <c r="I142">
        <f t="shared" si="8"/>
        <v>676233.94486400008</v>
      </c>
      <c r="K142" s="8"/>
      <c r="L142" s="8"/>
    </row>
    <row r="143" spans="1:12" x14ac:dyDescent="0.3">
      <c r="A143" s="1" t="s">
        <v>1</v>
      </c>
      <c r="B143">
        <f t="shared" si="6"/>
        <v>10.251250000000001</v>
      </c>
      <c r="C143">
        <v>10251250</v>
      </c>
      <c r="D143">
        <v>306421.86655452003</v>
      </c>
      <c r="E143">
        <f t="shared" si="7"/>
        <v>29891.170984467262</v>
      </c>
      <c r="F143">
        <v>6</v>
      </c>
      <c r="G143">
        <v>1453551.2433</v>
      </c>
      <c r="H143">
        <v>21034.1</v>
      </c>
      <c r="I143">
        <f t="shared" si="8"/>
        <v>1432517.1432999999</v>
      </c>
    </row>
    <row r="144" spans="1:12" x14ac:dyDescent="0.3">
      <c r="A144" s="1" t="s">
        <v>2</v>
      </c>
      <c r="B144">
        <f t="shared" si="6"/>
        <v>8.1701720000000009</v>
      </c>
      <c r="C144">
        <v>8170172</v>
      </c>
      <c r="D144">
        <v>47843.047023630999</v>
      </c>
      <c r="E144">
        <f t="shared" si="7"/>
        <v>5855.8188277591944</v>
      </c>
      <c r="F144">
        <v>6</v>
      </c>
      <c r="G144">
        <v>358729.00146</v>
      </c>
      <c r="H144">
        <v>28637.97</v>
      </c>
      <c r="I144">
        <f t="shared" si="8"/>
        <v>330091.03145999997</v>
      </c>
    </row>
    <row r="145" spans="1:9" x14ac:dyDescent="0.3">
      <c r="A145" s="1" t="s">
        <v>3</v>
      </c>
      <c r="B145">
        <f t="shared" si="6"/>
        <v>0.69402299999999995</v>
      </c>
      <c r="C145">
        <v>694023</v>
      </c>
      <c r="D145">
        <v>13970.564</v>
      </c>
      <c r="E145">
        <f t="shared" si="7"/>
        <v>20129.828550350638</v>
      </c>
      <c r="F145">
        <v>6</v>
      </c>
      <c r="G145">
        <v>56793.732660000001</v>
      </c>
      <c r="H145">
        <v>1758.7070000000001</v>
      </c>
      <c r="I145">
        <f t="shared" si="8"/>
        <v>55035.025659999999</v>
      </c>
    </row>
    <row r="146" spans="1:9" x14ac:dyDescent="0.3">
      <c r="A146" s="1" t="s">
        <v>4</v>
      </c>
      <c r="B146">
        <f t="shared" si="6"/>
        <v>10.255063</v>
      </c>
      <c r="C146">
        <v>10255063</v>
      </c>
      <c r="D146">
        <v>2916080.2805534001</v>
      </c>
      <c r="E146">
        <f t="shared" si="7"/>
        <v>284355.17953945289</v>
      </c>
      <c r="F146">
        <v>6</v>
      </c>
      <c r="G146">
        <v>1005138.47376</v>
      </c>
      <c r="H146">
        <v>59716.58</v>
      </c>
      <c r="I146">
        <f t="shared" si="8"/>
        <v>945421.89376000001</v>
      </c>
    </row>
    <row r="147" spans="1:9" ht="24" x14ac:dyDescent="0.3">
      <c r="A147" s="2" t="s">
        <v>5</v>
      </c>
      <c r="B147">
        <f t="shared" si="6"/>
        <v>82.211507999999995</v>
      </c>
      <c r="C147">
        <v>82211508</v>
      </c>
      <c r="D147">
        <v>2354719.7965505002</v>
      </c>
      <c r="E147">
        <f t="shared" si="7"/>
        <v>28642.21632512203</v>
      </c>
      <c r="F147">
        <v>6</v>
      </c>
      <c r="G147">
        <v>8638440.5138760004</v>
      </c>
      <c r="H147">
        <v>319660.09999999998</v>
      </c>
      <c r="I147">
        <f t="shared" si="8"/>
        <v>8318780.4138760008</v>
      </c>
    </row>
    <row r="148" spans="1:9" x14ac:dyDescent="0.3">
      <c r="A148" s="1" t="s">
        <v>6</v>
      </c>
      <c r="B148">
        <f t="shared" si="6"/>
        <v>5.3396160000000004</v>
      </c>
      <c r="C148">
        <v>5339616</v>
      </c>
      <c r="D148">
        <v>1677216.83</v>
      </c>
      <c r="E148">
        <f t="shared" si="7"/>
        <v>314108.1362405087</v>
      </c>
      <c r="F148">
        <v>6</v>
      </c>
      <c r="G148">
        <v>583246.61200800003</v>
      </c>
      <c r="H148">
        <v>62624.36</v>
      </c>
      <c r="I148">
        <f t="shared" si="8"/>
        <v>520622.25200800004</v>
      </c>
    </row>
    <row r="149" spans="1:9" x14ac:dyDescent="0.3">
      <c r="A149" s="1" t="s">
        <v>7</v>
      </c>
      <c r="B149">
        <f t="shared" si="6"/>
        <v>1.3969849999999999</v>
      </c>
      <c r="C149">
        <v>1396985</v>
      </c>
      <c r="D149">
        <v>10561.429694829001</v>
      </c>
      <c r="E149">
        <f t="shared" si="7"/>
        <v>7560.1596973689784</v>
      </c>
      <c r="F149">
        <v>6</v>
      </c>
      <c r="G149">
        <v>100578.617172</v>
      </c>
      <c r="H149">
        <v>19951.900000000001</v>
      </c>
      <c r="I149">
        <f t="shared" si="8"/>
        <v>80626.717172000004</v>
      </c>
    </row>
    <row r="150" spans="1:9" x14ac:dyDescent="0.3">
      <c r="A150" s="1" t="s">
        <v>8</v>
      </c>
      <c r="B150">
        <f t="shared" si="6"/>
        <v>10.805808000000001</v>
      </c>
      <c r="C150">
        <v>10805808</v>
      </c>
      <c r="D150">
        <v>188298.00110905999</v>
      </c>
      <c r="E150">
        <f t="shared" si="7"/>
        <v>17425.628986657914</v>
      </c>
      <c r="F150">
        <v>6</v>
      </c>
      <c r="G150">
        <v>742571.68536</v>
      </c>
      <c r="H150">
        <v>55847.22</v>
      </c>
      <c r="I150">
        <f t="shared" si="8"/>
        <v>686724.46536000003</v>
      </c>
    </row>
    <row r="151" spans="1:9" x14ac:dyDescent="0.3">
      <c r="A151" s="1" t="s">
        <v>31</v>
      </c>
      <c r="B151">
        <f t="shared" si="6"/>
        <v>40.567864</v>
      </c>
      <c r="C151">
        <v>40567864</v>
      </c>
      <c r="D151">
        <v>870177.68656399997</v>
      </c>
      <c r="E151">
        <f t="shared" si="7"/>
        <v>21449.92614262363</v>
      </c>
      <c r="F151">
        <v>6</v>
      </c>
      <c r="G151">
        <v>3186063.402156</v>
      </c>
      <c r="H151">
        <v>251199.9</v>
      </c>
      <c r="I151">
        <f t="shared" si="8"/>
        <v>2934863.5021560001</v>
      </c>
    </row>
    <row r="152" spans="1:9" x14ac:dyDescent="0.3">
      <c r="A152" s="1" t="s">
        <v>9</v>
      </c>
      <c r="B152">
        <f t="shared" si="6"/>
        <v>5.1762090000000001</v>
      </c>
      <c r="C152">
        <v>5176209</v>
      </c>
      <c r="D152">
        <v>157906.64152717002</v>
      </c>
      <c r="E152">
        <f t="shared" si="7"/>
        <v>30506.233717991297</v>
      </c>
      <c r="F152">
        <v>6</v>
      </c>
      <c r="G152">
        <v>979820.09866799996</v>
      </c>
      <c r="H152">
        <v>310264.90000000002</v>
      </c>
      <c r="I152">
        <f t="shared" si="8"/>
        <v>669555.19866799994</v>
      </c>
    </row>
    <row r="153" spans="1:9" x14ac:dyDescent="0.3">
      <c r="A153" s="1" t="s">
        <v>10</v>
      </c>
      <c r="B153">
        <f t="shared" si="6"/>
        <v>60.762169</v>
      </c>
      <c r="C153">
        <v>60762169</v>
      </c>
      <c r="D153">
        <v>1761915.4643915</v>
      </c>
      <c r="E153">
        <f t="shared" si="7"/>
        <v>28996.915241644845</v>
      </c>
      <c r="F153">
        <v>6</v>
      </c>
      <c r="G153">
        <v>6128135.1727919998</v>
      </c>
      <c r="H153">
        <v>567220.19999999995</v>
      </c>
      <c r="I153">
        <f t="shared" si="8"/>
        <v>5560914.9727919996</v>
      </c>
    </row>
    <row r="154" spans="1:9" x14ac:dyDescent="0.3">
      <c r="A154" s="1" t="s">
        <v>11</v>
      </c>
      <c r="B154">
        <f t="shared" si="6"/>
        <v>4.4683020000000004</v>
      </c>
      <c r="C154">
        <v>4468302</v>
      </c>
      <c r="D154">
        <v>259012.60719375001</v>
      </c>
      <c r="E154">
        <f t="shared" si="7"/>
        <v>57966.674408701554</v>
      </c>
      <c r="F154">
        <v>6</v>
      </c>
      <c r="G154">
        <v>247723.28449200001</v>
      </c>
      <c r="H154">
        <v>66360.56</v>
      </c>
      <c r="I154">
        <f t="shared" si="8"/>
        <v>181362.72449200001</v>
      </c>
    </row>
    <row r="155" spans="1:9" x14ac:dyDescent="0.3">
      <c r="A155" s="1" t="s">
        <v>12</v>
      </c>
      <c r="B155">
        <f t="shared" si="6"/>
        <v>10.210971000000001</v>
      </c>
      <c r="C155">
        <v>10210971</v>
      </c>
      <c r="D155">
        <v>22262085.34711</v>
      </c>
      <c r="E155">
        <f t="shared" si="7"/>
        <v>2180212.3761892966</v>
      </c>
      <c r="F155">
        <v>6</v>
      </c>
      <c r="G155">
        <v>654685.98040799994</v>
      </c>
      <c r="H155">
        <v>33821.81</v>
      </c>
      <c r="I155">
        <f t="shared" si="8"/>
        <v>620864.17040800001</v>
      </c>
    </row>
    <row r="156" spans="1:9" x14ac:dyDescent="0.3">
      <c r="A156" s="1" t="s">
        <v>13</v>
      </c>
      <c r="B156">
        <f t="shared" si="6"/>
        <v>3.8051740000000001</v>
      </c>
      <c r="C156">
        <v>3805174</v>
      </c>
      <c r="D156">
        <v>126552.77436013</v>
      </c>
      <c r="E156">
        <f t="shared" si="7"/>
        <v>33258.078174645889</v>
      </c>
      <c r="F156">
        <v>6</v>
      </c>
      <c r="G156">
        <v>421836.26104800001</v>
      </c>
      <c r="H156">
        <v>8580.8549999999996</v>
      </c>
      <c r="I156">
        <f t="shared" si="8"/>
        <v>413255.40604800003</v>
      </c>
    </row>
    <row r="157" spans="1:9" x14ac:dyDescent="0.3">
      <c r="A157" s="1" t="s">
        <v>14</v>
      </c>
      <c r="B157">
        <f t="shared" si="6"/>
        <v>56.942107999999998</v>
      </c>
      <c r="C157">
        <v>56942108</v>
      </c>
      <c r="D157">
        <v>1561934.3230385</v>
      </c>
      <c r="E157">
        <f t="shared" si="7"/>
        <v>27430.216019373573</v>
      </c>
      <c r="F157">
        <v>6</v>
      </c>
      <c r="G157">
        <v>5041057.7991960002</v>
      </c>
      <c r="H157">
        <v>258077.7</v>
      </c>
      <c r="I157">
        <f t="shared" si="8"/>
        <v>4782980.099196</v>
      </c>
    </row>
    <row r="158" spans="1:9" x14ac:dyDescent="0.3">
      <c r="A158" s="1" t="s">
        <v>15</v>
      </c>
      <c r="B158">
        <f t="shared" si="6"/>
        <v>3.499536</v>
      </c>
      <c r="C158">
        <v>3499536</v>
      </c>
      <c r="D158">
        <v>18318.240512115</v>
      </c>
      <c r="E158">
        <f t="shared" si="7"/>
        <v>5234.4769455479245</v>
      </c>
      <c r="F158">
        <v>6</v>
      </c>
      <c r="G158">
        <v>156495.00589199999</v>
      </c>
      <c r="H158">
        <v>26894.55</v>
      </c>
      <c r="I158">
        <f t="shared" si="8"/>
        <v>129600.45589199998</v>
      </c>
    </row>
    <row r="159" spans="1:9" x14ac:dyDescent="0.3">
      <c r="A159" s="1" t="s">
        <v>16</v>
      </c>
      <c r="B159">
        <f t="shared" si="6"/>
        <v>0.43630000000000002</v>
      </c>
      <c r="C159">
        <v>436300</v>
      </c>
      <c r="D159">
        <v>31692.300987807001</v>
      </c>
      <c r="E159">
        <f t="shared" si="7"/>
        <v>72638.782919566816</v>
      </c>
      <c r="F159">
        <v>6</v>
      </c>
      <c r="G159">
        <v>133995.352032</v>
      </c>
      <c r="H159">
        <v>9184.0720000000001</v>
      </c>
      <c r="I159">
        <f t="shared" si="8"/>
        <v>124811.280032</v>
      </c>
    </row>
    <row r="160" spans="1:9" x14ac:dyDescent="0.3">
      <c r="A160" s="1" t="s">
        <v>17</v>
      </c>
      <c r="B160">
        <f t="shared" si="6"/>
        <v>2.36755</v>
      </c>
      <c r="C160">
        <v>2367550</v>
      </c>
      <c r="D160">
        <v>12525.902681575</v>
      </c>
      <c r="E160">
        <f t="shared" si="7"/>
        <v>5290.6602528246503</v>
      </c>
      <c r="F160">
        <v>6</v>
      </c>
      <c r="G160">
        <v>135110.58994800001</v>
      </c>
      <c r="H160">
        <v>48397.14</v>
      </c>
      <c r="I160">
        <f t="shared" si="8"/>
        <v>86713.449948000009</v>
      </c>
    </row>
    <row r="161" spans="1:12" x14ac:dyDescent="0.3">
      <c r="A161" s="1" t="s">
        <v>18</v>
      </c>
      <c r="B161">
        <f t="shared" si="6"/>
        <v>0.39008700000000002</v>
      </c>
      <c r="C161">
        <v>390087</v>
      </c>
      <c r="D161">
        <v>5363.3385060794999</v>
      </c>
      <c r="E161">
        <f t="shared" si="7"/>
        <v>13749.082912477215</v>
      </c>
      <c r="F161">
        <v>6</v>
      </c>
      <c r="G161">
        <v>13289.782428</v>
      </c>
      <c r="H161">
        <v>0</v>
      </c>
      <c r="I161">
        <f t="shared" si="8"/>
        <v>13289.782428</v>
      </c>
    </row>
    <row r="162" spans="1:12" x14ac:dyDescent="0.3">
      <c r="A162" s="1" t="s">
        <v>19</v>
      </c>
      <c r="B162">
        <f t="shared" si="6"/>
        <v>15.925513</v>
      </c>
      <c r="C162">
        <v>15925513</v>
      </c>
      <c r="D162">
        <v>558359.22444810998</v>
      </c>
      <c r="E162">
        <f t="shared" si="7"/>
        <v>35060.674305946057</v>
      </c>
      <c r="F162">
        <v>6</v>
      </c>
      <c r="G162">
        <v>2011795.0393320001</v>
      </c>
      <c r="H162">
        <v>35245.910000000003</v>
      </c>
      <c r="I162">
        <f t="shared" si="8"/>
        <v>1976549.1293320002</v>
      </c>
    </row>
    <row r="163" spans="1:12" x14ac:dyDescent="0.3">
      <c r="A163" s="1" t="s">
        <v>20</v>
      </c>
      <c r="B163">
        <f t="shared" si="6"/>
        <v>38.258628999999999</v>
      </c>
      <c r="C163">
        <v>38258629</v>
      </c>
      <c r="D163">
        <v>985813.98167794</v>
      </c>
      <c r="E163">
        <f t="shared" si="7"/>
        <v>25767.101630273788</v>
      </c>
      <c r="F163">
        <v>6</v>
      </c>
      <c r="G163">
        <v>2236322.4469920001</v>
      </c>
      <c r="H163">
        <v>154902.29999999999</v>
      </c>
      <c r="I163">
        <f t="shared" si="8"/>
        <v>2081420.1469920001</v>
      </c>
    </row>
    <row r="164" spans="1:12" x14ac:dyDescent="0.3">
      <c r="A164" s="1" t="s">
        <v>21</v>
      </c>
      <c r="B164">
        <f t="shared" si="6"/>
        <v>10.289898000000001</v>
      </c>
      <c r="C164">
        <v>10289898</v>
      </c>
      <c r="D164">
        <v>167021.29406082002</v>
      </c>
      <c r="E164">
        <f t="shared" si="7"/>
        <v>16231.579172195876</v>
      </c>
      <c r="F164">
        <v>6</v>
      </c>
      <c r="G164">
        <v>710306.86478399998</v>
      </c>
      <c r="H164">
        <v>142871.29999999999</v>
      </c>
      <c r="I164">
        <f t="shared" si="8"/>
        <v>567435.56478399993</v>
      </c>
    </row>
    <row r="165" spans="1:12" x14ac:dyDescent="0.3">
      <c r="A165" s="1" t="s">
        <v>22</v>
      </c>
      <c r="B165">
        <f t="shared" si="6"/>
        <v>22.442971</v>
      </c>
      <c r="C165">
        <v>22442971</v>
      </c>
      <c r="D165">
        <v>349416.67617200001</v>
      </c>
      <c r="E165">
        <f t="shared" si="7"/>
        <v>15569.091818191095</v>
      </c>
      <c r="F165">
        <v>6</v>
      </c>
      <c r="G165">
        <v>916492.86460800003</v>
      </c>
      <c r="H165">
        <v>150004.1</v>
      </c>
      <c r="I165">
        <f t="shared" si="8"/>
        <v>766488.76460800006</v>
      </c>
    </row>
    <row r="166" spans="1:12" x14ac:dyDescent="0.3">
      <c r="A166" s="1" t="s">
        <v>23</v>
      </c>
      <c r="B166">
        <f t="shared" si="6"/>
        <v>8.872109</v>
      </c>
      <c r="C166">
        <v>8872109</v>
      </c>
      <c r="D166">
        <v>2873837.3581904001</v>
      </c>
      <c r="E166">
        <f t="shared" si="7"/>
        <v>323918.17528283299</v>
      </c>
      <c r="F166">
        <v>6</v>
      </c>
      <c r="G166">
        <v>184572.23097599999</v>
      </c>
      <c r="H166">
        <v>562267</v>
      </c>
      <c r="I166">
        <f t="shared" si="8"/>
        <v>-377694.76902400004</v>
      </c>
    </row>
    <row r="167" spans="1:12" x14ac:dyDescent="0.3">
      <c r="A167" s="1" t="s">
        <v>24</v>
      </c>
      <c r="B167">
        <f t="shared" si="6"/>
        <v>1.9889250000000001</v>
      </c>
      <c r="C167">
        <v>1988925</v>
      </c>
      <c r="D167">
        <v>27816.753659999998</v>
      </c>
      <c r="E167">
        <f t="shared" si="7"/>
        <v>13985.823326671441</v>
      </c>
      <c r="F167">
        <v>6</v>
      </c>
      <c r="G167">
        <v>421065.63864000002</v>
      </c>
      <c r="H167">
        <v>29281.95</v>
      </c>
      <c r="I167">
        <f t="shared" si="8"/>
        <v>391783.68864000001</v>
      </c>
    </row>
    <row r="168" spans="1:12" x14ac:dyDescent="0.3">
      <c r="A168" s="1" t="s">
        <v>25</v>
      </c>
      <c r="B168">
        <f t="shared" si="6"/>
        <v>5.3887200000000002</v>
      </c>
      <c r="C168">
        <v>5388720</v>
      </c>
      <c r="D168">
        <v>42011.312620350996</v>
      </c>
      <c r="E168">
        <f t="shared" si="7"/>
        <v>7796.1580153266441</v>
      </c>
      <c r="F168">
        <v>6</v>
      </c>
      <c r="G168">
        <v>1405377.336348</v>
      </c>
      <c r="H168">
        <v>15697.7</v>
      </c>
      <c r="I168">
        <f t="shared" si="8"/>
        <v>1389679.636348</v>
      </c>
    </row>
    <row r="169" spans="1:12" x14ac:dyDescent="0.3">
      <c r="A169" s="1" t="s">
        <v>26</v>
      </c>
      <c r="B169">
        <f t="shared" si="6"/>
        <v>58.892513999999998</v>
      </c>
      <c r="C169">
        <v>58892514</v>
      </c>
      <c r="D169">
        <v>1632591</v>
      </c>
      <c r="E169">
        <f t="shared" si="7"/>
        <v>27721.536900258667</v>
      </c>
      <c r="F169">
        <v>6</v>
      </c>
      <c r="G169">
        <v>5827733.8219079999</v>
      </c>
      <c r="H169">
        <v>56057.06</v>
      </c>
      <c r="I169">
        <f t="shared" si="8"/>
        <v>5771676.7619080003</v>
      </c>
    </row>
    <row r="170" spans="1:12" x14ac:dyDescent="0.3">
      <c r="A170" s="13" t="s">
        <v>0</v>
      </c>
      <c r="B170">
        <f t="shared" si="6"/>
        <v>8.0422930000000008</v>
      </c>
      <c r="C170" s="8">
        <v>8042293</v>
      </c>
      <c r="D170" s="8">
        <v>257288.69183036999</v>
      </c>
      <c r="E170">
        <f t="shared" si="7"/>
        <v>31991.956999125741</v>
      </c>
      <c r="F170" s="8">
        <v>7</v>
      </c>
      <c r="G170">
        <v>978369.33059999999</v>
      </c>
      <c r="H170">
        <v>249324.5</v>
      </c>
      <c r="I170">
        <f t="shared" si="8"/>
        <v>729044.83059999999</v>
      </c>
      <c r="K170" s="8"/>
      <c r="L170" s="8"/>
    </row>
    <row r="171" spans="1:12" x14ac:dyDescent="0.3">
      <c r="A171" s="1" t="s">
        <v>1</v>
      </c>
      <c r="B171">
        <f t="shared" si="6"/>
        <v>10.286569999999999</v>
      </c>
      <c r="C171">
        <v>10286570</v>
      </c>
      <c r="D171">
        <v>309791.33927544003</v>
      </c>
      <c r="E171">
        <f t="shared" si="7"/>
        <v>30116.096937603113</v>
      </c>
      <c r="F171">
        <v>7</v>
      </c>
      <c r="G171">
        <v>1501271.5104720001</v>
      </c>
      <c r="H171">
        <v>23794.97</v>
      </c>
      <c r="I171">
        <f t="shared" si="8"/>
        <v>1477476.5404720001</v>
      </c>
    </row>
    <row r="172" spans="1:12" x14ac:dyDescent="0.3">
      <c r="A172" s="1" t="s">
        <v>2</v>
      </c>
      <c r="B172">
        <f t="shared" si="6"/>
        <v>8.0091420000000006</v>
      </c>
      <c r="C172">
        <v>8009142</v>
      </c>
      <c r="D172">
        <v>49672.423365685994</v>
      </c>
      <c r="E172">
        <f t="shared" si="7"/>
        <v>6201.9656244933594</v>
      </c>
      <c r="F172">
        <v>7</v>
      </c>
      <c r="G172">
        <v>358730.67618000001</v>
      </c>
      <c r="H172">
        <v>26131.83</v>
      </c>
      <c r="I172">
        <f t="shared" si="8"/>
        <v>332598.84617999999</v>
      </c>
    </row>
    <row r="173" spans="1:12" x14ac:dyDescent="0.3">
      <c r="A173" s="1" t="s">
        <v>3</v>
      </c>
      <c r="B173">
        <f t="shared" si="6"/>
        <v>0.70154399999999995</v>
      </c>
      <c r="C173">
        <v>701544</v>
      </c>
      <c r="D173">
        <v>14522.759</v>
      </c>
      <c r="E173">
        <f t="shared" si="7"/>
        <v>20701.137776105279</v>
      </c>
      <c r="F173">
        <v>7</v>
      </c>
      <c r="G173">
        <v>57250.051992000001</v>
      </c>
      <c r="H173">
        <v>1744.681</v>
      </c>
      <c r="I173">
        <f t="shared" si="8"/>
        <v>55505.370992000004</v>
      </c>
    </row>
    <row r="174" spans="1:12" x14ac:dyDescent="0.3">
      <c r="A174" s="1" t="s">
        <v>4</v>
      </c>
      <c r="B174">
        <f t="shared" si="6"/>
        <v>10.216604999999999</v>
      </c>
      <c r="C174">
        <v>10216605</v>
      </c>
      <c r="D174">
        <v>3004815.9200362996</v>
      </c>
      <c r="E174">
        <f t="shared" si="7"/>
        <v>294111.00067354075</v>
      </c>
      <c r="F174">
        <v>7</v>
      </c>
      <c r="G174">
        <v>1028910.203064</v>
      </c>
      <c r="H174">
        <v>64685.32</v>
      </c>
      <c r="I174">
        <f t="shared" si="8"/>
        <v>964224.88306400005</v>
      </c>
    </row>
    <row r="175" spans="1:12" ht="24" x14ac:dyDescent="0.3">
      <c r="A175" s="2" t="s">
        <v>5</v>
      </c>
      <c r="B175">
        <f t="shared" si="6"/>
        <v>82.349924999999999</v>
      </c>
      <c r="C175">
        <v>82349925</v>
      </c>
      <c r="D175">
        <v>2394313.6677447003</v>
      </c>
      <c r="E175">
        <f t="shared" si="7"/>
        <v>29074.87368986311</v>
      </c>
      <c r="F175">
        <v>7</v>
      </c>
      <c r="G175">
        <v>8812552.1925239991</v>
      </c>
      <c r="H175">
        <v>343660.7</v>
      </c>
      <c r="I175">
        <f t="shared" si="8"/>
        <v>8468891.4925239999</v>
      </c>
    </row>
    <row r="176" spans="1:12" x14ac:dyDescent="0.3">
      <c r="A176" s="1" t="s">
        <v>6</v>
      </c>
      <c r="B176">
        <f t="shared" si="6"/>
        <v>5.3587829999999999</v>
      </c>
      <c r="C176">
        <v>5358783</v>
      </c>
      <c r="D176">
        <v>1691022.8910000001</v>
      </c>
      <c r="E176">
        <f t="shared" si="7"/>
        <v>315560.99416602612</v>
      </c>
      <c r="F176">
        <v>7</v>
      </c>
      <c r="G176">
        <v>599648.31727200001</v>
      </c>
      <c r="H176">
        <v>66702.48</v>
      </c>
      <c r="I176">
        <f t="shared" si="8"/>
        <v>532945.83727200003</v>
      </c>
    </row>
    <row r="177" spans="1:9" x14ac:dyDescent="0.3">
      <c r="A177" s="1" t="s">
        <v>7</v>
      </c>
      <c r="B177">
        <f t="shared" si="6"/>
        <v>1.388115</v>
      </c>
      <c r="C177">
        <v>1388115</v>
      </c>
      <c r="D177">
        <v>11195.503509737</v>
      </c>
      <c r="E177">
        <f t="shared" si="7"/>
        <v>8065.2564879257125</v>
      </c>
      <c r="F177">
        <v>7</v>
      </c>
      <c r="G177">
        <v>110451.38464800001</v>
      </c>
      <c r="H177">
        <v>20920.89</v>
      </c>
      <c r="I177">
        <f t="shared" si="8"/>
        <v>89530.494648000007</v>
      </c>
    </row>
    <row r="178" spans="1:9" x14ac:dyDescent="0.3">
      <c r="A178" s="1" t="s">
        <v>8</v>
      </c>
      <c r="B178">
        <f t="shared" si="6"/>
        <v>10.862132000000001</v>
      </c>
      <c r="C178">
        <v>10862132</v>
      </c>
      <c r="D178">
        <v>196077.74401769001</v>
      </c>
      <c r="E178">
        <f t="shared" si="7"/>
        <v>18051.49707421066</v>
      </c>
      <c r="F178">
        <v>7</v>
      </c>
      <c r="G178">
        <v>770227.80209999997</v>
      </c>
      <c r="H178">
        <v>52481.24</v>
      </c>
      <c r="I178">
        <f t="shared" si="8"/>
        <v>717746.56209999998</v>
      </c>
    </row>
    <row r="179" spans="1:9" x14ac:dyDescent="0.3">
      <c r="A179" s="1" t="s">
        <v>31</v>
      </c>
      <c r="B179">
        <f t="shared" si="6"/>
        <v>40.850411999999999</v>
      </c>
      <c r="C179">
        <v>40850412</v>
      </c>
      <c r="D179">
        <v>904401.32982264005</v>
      </c>
      <c r="E179">
        <f t="shared" si="7"/>
        <v>22139.344147193424</v>
      </c>
      <c r="F179">
        <v>7</v>
      </c>
      <c r="G179">
        <v>3347284.0492079998</v>
      </c>
      <c r="H179">
        <v>299027.90000000002</v>
      </c>
      <c r="I179">
        <f t="shared" si="8"/>
        <v>3048256.1492079999</v>
      </c>
    </row>
    <row r="180" spans="1:9" x14ac:dyDescent="0.3">
      <c r="A180" s="1" t="s">
        <v>9</v>
      </c>
      <c r="B180">
        <f t="shared" si="6"/>
        <v>5.188008</v>
      </c>
      <c r="C180">
        <v>5188008</v>
      </c>
      <c r="D180">
        <v>162028.03506898001</v>
      </c>
      <c r="E180">
        <f t="shared" si="7"/>
        <v>31231.261607341396</v>
      </c>
      <c r="F180">
        <v>7</v>
      </c>
      <c r="G180">
        <v>1001913.0467759999</v>
      </c>
      <c r="H180">
        <v>292934.5</v>
      </c>
      <c r="I180">
        <f t="shared" si="8"/>
        <v>708978.54677599994</v>
      </c>
    </row>
    <row r="181" spans="1:9" x14ac:dyDescent="0.3">
      <c r="A181" s="1" t="s">
        <v>10</v>
      </c>
      <c r="B181">
        <f t="shared" si="6"/>
        <v>61.201675999999999</v>
      </c>
      <c r="C181">
        <v>61201676</v>
      </c>
      <c r="D181">
        <v>1796866.9584996002</v>
      </c>
      <c r="E181">
        <f t="shared" si="7"/>
        <v>29359.767181859534</v>
      </c>
      <c r="F181">
        <v>7</v>
      </c>
      <c r="G181">
        <v>6355446.0906959996</v>
      </c>
      <c r="H181">
        <v>597108.19999999995</v>
      </c>
      <c r="I181">
        <f t="shared" si="8"/>
        <v>5758337.8906959994</v>
      </c>
    </row>
    <row r="182" spans="1:9" x14ac:dyDescent="0.3">
      <c r="A182" s="1" t="s">
        <v>11</v>
      </c>
      <c r="B182">
        <f t="shared" si="6"/>
        <v>4.3004499999999997</v>
      </c>
      <c r="C182">
        <v>4300450</v>
      </c>
      <c r="D182">
        <v>266867.16010232997</v>
      </c>
      <c r="E182">
        <f t="shared" si="7"/>
        <v>62055.636061884223</v>
      </c>
      <c r="F182">
        <v>7</v>
      </c>
      <c r="G182">
        <v>260201.162664</v>
      </c>
      <c r="H182">
        <v>70112.5</v>
      </c>
      <c r="I182">
        <f t="shared" si="8"/>
        <v>190088.662664</v>
      </c>
    </row>
    <row r="183" spans="1:9" x14ac:dyDescent="0.3">
      <c r="A183" s="1" t="s">
        <v>12</v>
      </c>
      <c r="B183">
        <f t="shared" si="6"/>
        <v>10.187576</v>
      </c>
      <c r="C183">
        <v>10187576</v>
      </c>
      <c r="D183">
        <v>23169063.077728</v>
      </c>
      <c r="E183">
        <f t="shared" si="7"/>
        <v>2274246.8942295988</v>
      </c>
      <c r="F183">
        <v>7</v>
      </c>
      <c r="G183">
        <v>689210.16573600005</v>
      </c>
      <c r="H183">
        <v>35295.31</v>
      </c>
      <c r="I183">
        <f t="shared" si="8"/>
        <v>653914.855736</v>
      </c>
    </row>
    <row r="184" spans="1:9" x14ac:dyDescent="0.3">
      <c r="A184" s="1" t="s">
        <v>13</v>
      </c>
      <c r="B184">
        <f t="shared" si="6"/>
        <v>3.8662429999999999</v>
      </c>
      <c r="C184">
        <v>3866243</v>
      </c>
      <c r="D184">
        <v>133265.74826671</v>
      </c>
      <c r="E184">
        <f t="shared" si="7"/>
        <v>34469.056463008143</v>
      </c>
      <c r="F184">
        <v>7</v>
      </c>
      <c r="G184">
        <v>435793.92181199999</v>
      </c>
      <c r="H184">
        <v>8592.1479999999992</v>
      </c>
      <c r="I184">
        <f t="shared" si="8"/>
        <v>427201.773812</v>
      </c>
    </row>
    <row r="185" spans="1:9" x14ac:dyDescent="0.3">
      <c r="A185" s="1" t="s">
        <v>14</v>
      </c>
      <c r="B185">
        <f t="shared" si="6"/>
        <v>56.9741</v>
      </c>
      <c r="C185">
        <v>56974100</v>
      </c>
      <c r="D185">
        <v>1592413.4651424999</v>
      </c>
      <c r="E185">
        <f t="shared" si="7"/>
        <v>27949.778322825634</v>
      </c>
      <c r="F185">
        <v>7</v>
      </c>
      <c r="G185">
        <v>5118429.6957240002</v>
      </c>
      <c r="H185">
        <v>275502.90000000002</v>
      </c>
      <c r="I185">
        <f t="shared" si="8"/>
        <v>4842926.7957239999</v>
      </c>
    </row>
    <row r="186" spans="1:9" x14ac:dyDescent="0.3">
      <c r="A186" s="1" t="s">
        <v>15</v>
      </c>
      <c r="B186">
        <f t="shared" si="6"/>
        <v>3.470818</v>
      </c>
      <c r="C186">
        <v>3470818</v>
      </c>
      <c r="D186">
        <v>19513.708137311001</v>
      </c>
      <c r="E186">
        <f t="shared" si="7"/>
        <v>5622.2216599403946</v>
      </c>
      <c r="F186">
        <v>7</v>
      </c>
      <c r="G186">
        <v>162562.22337600001</v>
      </c>
      <c r="H186">
        <v>28593.75</v>
      </c>
      <c r="I186">
        <f t="shared" si="8"/>
        <v>133968.47337600001</v>
      </c>
    </row>
    <row r="187" spans="1:9" x14ac:dyDescent="0.3">
      <c r="A187" s="1" t="s">
        <v>16</v>
      </c>
      <c r="B187">
        <f t="shared" si="6"/>
        <v>0.441525</v>
      </c>
      <c r="C187">
        <v>441525</v>
      </c>
      <c r="D187">
        <v>32666.634827618</v>
      </c>
      <c r="E187">
        <f t="shared" si="7"/>
        <v>73985.923396450933</v>
      </c>
      <c r="F187">
        <v>7</v>
      </c>
      <c r="G187">
        <v>140060.39238</v>
      </c>
      <c r="H187">
        <v>4808.3019999999997</v>
      </c>
      <c r="I187">
        <f t="shared" si="8"/>
        <v>135252.09038000001</v>
      </c>
    </row>
    <row r="188" spans="1:9" x14ac:dyDescent="0.3">
      <c r="A188" s="1" t="s">
        <v>17</v>
      </c>
      <c r="B188">
        <f t="shared" si="6"/>
        <v>2.33717</v>
      </c>
      <c r="C188">
        <v>2337170</v>
      </c>
      <c r="D188">
        <v>13318.575617066001</v>
      </c>
      <c r="E188">
        <f t="shared" si="7"/>
        <v>5698.5908671880952</v>
      </c>
      <c r="F188">
        <v>7</v>
      </c>
      <c r="G188">
        <v>148453.67034000001</v>
      </c>
      <c r="H188">
        <v>52474.26</v>
      </c>
      <c r="I188">
        <f t="shared" si="8"/>
        <v>95979.410340000002</v>
      </c>
    </row>
    <row r="189" spans="1:9" x14ac:dyDescent="0.3">
      <c r="A189" s="1" t="s">
        <v>18</v>
      </c>
      <c r="B189">
        <f t="shared" si="6"/>
        <v>0.39302799999999999</v>
      </c>
      <c r="C189">
        <v>393028</v>
      </c>
      <c r="D189">
        <v>5300.3355477624</v>
      </c>
      <c r="E189">
        <f t="shared" si="7"/>
        <v>13485.898072815169</v>
      </c>
      <c r="F189">
        <v>7</v>
      </c>
      <c r="G189">
        <v>12865.408380000001</v>
      </c>
      <c r="H189">
        <v>0</v>
      </c>
      <c r="I189">
        <f t="shared" si="8"/>
        <v>12865.408380000001</v>
      </c>
    </row>
    <row r="190" spans="1:9" x14ac:dyDescent="0.3">
      <c r="A190" s="1" t="s">
        <v>19</v>
      </c>
      <c r="B190">
        <f t="shared" si="6"/>
        <v>16.04618</v>
      </c>
      <c r="C190">
        <v>16046180</v>
      </c>
      <c r="D190">
        <v>571351.99297359993</v>
      </c>
      <c r="E190">
        <f t="shared" si="7"/>
        <v>35606.729637433949</v>
      </c>
      <c r="F190">
        <v>7</v>
      </c>
      <c r="G190">
        <v>2048359.5360359999</v>
      </c>
      <c r="H190">
        <v>36513.68</v>
      </c>
      <c r="I190">
        <f t="shared" si="8"/>
        <v>2011845.856036</v>
      </c>
    </row>
    <row r="191" spans="1:9" x14ac:dyDescent="0.3">
      <c r="A191" s="1" t="s">
        <v>20</v>
      </c>
      <c r="B191">
        <f t="shared" si="6"/>
        <v>38.248075999999998</v>
      </c>
      <c r="C191">
        <v>38248076</v>
      </c>
      <c r="D191">
        <v>998220.23512609</v>
      </c>
      <c r="E191">
        <f t="shared" si="7"/>
        <v>26098.573824369363</v>
      </c>
      <c r="F191">
        <v>7</v>
      </c>
      <c r="G191">
        <v>2261305.8780840002</v>
      </c>
      <c r="H191">
        <v>164882.20000000001</v>
      </c>
      <c r="I191">
        <f t="shared" si="8"/>
        <v>2096423.6780840002</v>
      </c>
    </row>
    <row r="192" spans="1:9" x14ac:dyDescent="0.3">
      <c r="A192" s="1" t="s">
        <v>21</v>
      </c>
      <c r="B192">
        <f t="shared" si="6"/>
        <v>10.362722</v>
      </c>
      <c r="C192">
        <v>10362722</v>
      </c>
      <c r="D192">
        <v>170267.64096381</v>
      </c>
      <c r="E192">
        <f t="shared" si="7"/>
        <v>16430.783433523549</v>
      </c>
      <c r="F192">
        <v>7</v>
      </c>
      <c r="G192">
        <v>722797.59643200005</v>
      </c>
      <c r="H192">
        <v>150543.79999999999</v>
      </c>
      <c r="I192">
        <f t="shared" si="8"/>
        <v>572253.79643200012</v>
      </c>
    </row>
    <row r="193" spans="1:12" x14ac:dyDescent="0.3">
      <c r="A193" s="1" t="s">
        <v>22</v>
      </c>
      <c r="B193">
        <f t="shared" si="6"/>
        <v>22.131969999999999</v>
      </c>
      <c r="C193">
        <v>22131970</v>
      </c>
      <c r="D193">
        <v>367649.85030599998</v>
      </c>
      <c r="E193">
        <f t="shared" si="7"/>
        <v>16611.709229047392</v>
      </c>
      <c r="F193">
        <v>7</v>
      </c>
      <c r="G193">
        <v>935424.36003600003</v>
      </c>
      <c r="H193">
        <v>125296.4</v>
      </c>
      <c r="I193">
        <f t="shared" si="8"/>
        <v>810127.960036</v>
      </c>
    </row>
    <row r="194" spans="1:12" x14ac:dyDescent="0.3">
      <c r="A194" s="1" t="s">
        <v>23</v>
      </c>
      <c r="B194">
        <f t="shared" si="6"/>
        <v>8.8959600000000005</v>
      </c>
      <c r="C194">
        <v>8895960</v>
      </c>
      <c r="D194">
        <v>2915493.5909801</v>
      </c>
      <c r="E194">
        <f t="shared" si="7"/>
        <v>327732.31792635081</v>
      </c>
      <c r="F194">
        <v>7</v>
      </c>
      <c r="G194">
        <v>190655.73511199999</v>
      </c>
      <c r="H194">
        <v>519611.6</v>
      </c>
      <c r="I194">
        <f t="shared" si="8"/>
        <v>-328955.86488799995</v>
      </c>
    </row>
    <row r="195" spans="1:12" x14ac:dyDescent="0.3">
      <c r="A195" s="1" t="s">
        <v>24</v>
      </c>
      <c r="B195">
        <f t="shared" ref="B195:B258" si="9">C195/1000000</f>
        <v>1.9920599999999999</v>
      </c>
      <c r="C195">
        <v>1992060</v>
      </c>
      <c r="D195">
        <v>28711.496426999998</v>
      </c>
      <c r="E195">
        <f t="shared" ref="E195:E258" si="10">D195/B195</f>
        <v>14412.967695250143</v>
      </c>
      <c r="F195">
        <v>7</v>
      </c>
      <c r="G195">
        <v>440483.84956800001</v>
      </c>
      <c r="H195">
        <v>28582.77</v>
      </c>
      <c r="I195">
        <f t="shared" ref="I195:I258" si="11">G195-H195</f>
        <v>411901.07956799999</v>
      </c>
    </row>
    <row r="196" spans="1:12" x14ac:dyDescent="0.3">
      <c r="A196" s="1" t="s">
        <v>25</v>
      </c>
      <c r="B196">
        <f t="shared" si="9"/>
        <v>5.3788669999999996</v>
      </c>
      <c r="C196">
        <v>5378867</v>
      </c>
      <c r="D196">
        <v>43378.27020164</v>
      </c>
      <c r="E196">
        <f t="shared" si="10"/>
        <v>8064.5738594466093</v>
      </c>
      <c r="F196">
        <v>7</v>
      </c>
      <c r="G196">
        <v>1379686.294188</v>
      </c>
      <c r="H196">
        <v>26433.439999999999</v>
      </c>
      <c r="I196">
        <f t="shared" si="11"/>
        <v>1353252.8541880001</v>
      </c>
    </row>
    <row r="197" spans="1:12" x14ac:dyDescent="0.3">
      <c r="A197" s="1" t="s">
        <v>26</v>
      </c>
      <c r="B197">
        <f t="shared" si="9"/>
        <v>59.119672999999999</v>
      </c>
      <c r="C197">
        <v>59119673</v>
      </c>
      <c r="D197">
        <v>1666429</v>
      </c>
      <c r="E197">
        <f t="shared" si="10"/>
        <v>28187.385271904328</v>
      </c>
      <c r="F197">
        <v>7</v>
      </c>
      <c r="G197">
        <v>5891949.4530600002</v>
      </c>
      <c r="H197">
        <v>50250.52</v>
      </c>
      <c r="I197">
        <f t="shared" si="11"/>
        <v>5841698.9330600007</v>
      </c>
    </row>
    <row r="198" spans="1:12" x14ac:dyDescent="0.3">
      <c r="A198" s="5" t="s">
        <v>0</v>
      </c>
      <c r="B198">
        <f t="shared" si="9"/>
        <v>8.0819569999999992</v>
      </c>
      <c r="C198">
        <v>8081957</v>
      </c>
      <c r="D198">
        <v>261537.95331082001</v>
      </c>
      <c r="E198">
        <f t="shared" si="10"/>
        <v>32360.720715393567</v>
      </c>
      <c r="F198">
        <v>8</v>
      </c>
      <c r="G198">
        <v>982292.40406800003</v>
      </c>
      <c r="H198">
        <v>242477.6</v>
      </c>
      <c r="I198">
        <f t="shared" si="11"/>
        <v>739814.80406800006</v>
      </c>
      <c r="K198" s="4"/>
      <c r="L198" s="4"/>
    </row>
    <row r="199" spans="1:12" x14ac:dyDescent="0.3">
      <c r="A199" s="1" t="s">
        <v>1</v>
      </c>
      <c r="B199">
        <f t="shared" si="9"/>
        <v>10.332784999999999</v>
      </c>
      <c r="C199">
        <v>10332785</v>
      </c>
      <c r="D199">
        <v>315079.11988975003</v>
      </c>
      <c r="E199">
        <f t="shared" si="10"/>
        <v>30493.145835295134</v>
      </c>
      <c r="F199">
        <v>8</v>
      </c>
      <c r="G199">
        <v>1417123.6549559999</v>
      </c>
      <c r="H199">
        <v>23888.6</v>
      </c>
      <c r="I199">
        <f t="shared" si="11"/>
        <v>1393235.0549559998</v>
      </c>
    </row>
    <row r="200" spans="1:12" x14ac:dyDescent="0.3">
      <c r="A200" s="1" t="s">
        <v>2</v>
      </c>
      <c r="B200">
        <f t="shared" si="9"/>
        <v>7.837161</v>
      </c>
      <c r="C200">
        <v>7837161</v>
      </c>
      <c r="D200">
        <v>52589.153433032996</v>
      </c>
      <c r="E200">
        <f t="shared" si="10"/>
        <v>6710.2300734963837</v>
      </c>
      <c r="F200">
        <v>8</v>
      </c>
      <c r="G200">
        <v>358101.31640399998</v>
      </c>
      <c r="H200">
        <v>31274.13</v>
      </c>
      <c r="I200">
        <f t="shared" si="11"/>
        <v>326827.18640399998</v>
      </c>
    </row>
    <row r="201" spans="1:12" x14ac:dyDescent="0.3">
      <c r="A201" s="1" t="s">
        <v>3</v>
      </c>
      <c r="B201">
        <f t="shared" si="9"/>
        <v>0.70962999999999998</v>
      </c>
      <c r="C201">
        <v>709630</v>
      </c>
      <c r="D201">
        <v>15063.434999999999</v>
      </c>
      <c r="E201">
        <f t="shared" si="10"/>
        <v>21227.167678931273</v>
      </c>
      <c r="F201">
        <v>8</v>
      </c>
      <c r="G201">
        <v>58345.235136000003</v>
      </c>
      <c r="H201">
        <v>1853.287</v>
      </c>
      <c r="I201">
        <f t="shared" si="11"/>
        <v>56491.948136000006</v>
      </c>
    </row>
    <row r="202" spans="1:12" x14ac:dyDescent="0.3">
      <c r="A202" s="1" t="s">
        <v>4</v>
      </c>
      <c r="B202">
        <f t="shared" si="9"/>
        <v>10.196916</v>
      </c>
      <c r="C202">
        <v>10196916</v>
      </c>
      <c r="D202">
        <v>3051987.1828602999</v>
      </c>
      <c r="E202">
        <f t="shared" si="10"/>
        <v>299304.9254166946</v>
      </c>
      <c r="F202">
        <v>8</v>
      </c>
      <c r="G202">
        <v>1003249.640808</v>
      </c>
      <c r="H202">
        <v>72991.55</v>
      </c>
      <c r="I202">
        <f t="shared" si="11"/>
        <v>930258.09080799995</v>
      </c>
    </row>
    <row r="203" spans="1:12" ht="24" x14ac:dyDescent="0.3">
      <c r="A203" s="2" t="s">
        <v>5</v>
      </c>
      <c r="B203">
        <f t="shared" si="9"/>
        <v>82.488495</v>
      </c>
      <c r="C203">
        <v>82488495</v>
      </c>
      <c r="D203">
        <v>2389573.5531602004</v>
      </c>
      <c r="E203">
        <f t="shared" si="10"/>
        <v>28968.567715536577</v>
      </c>
      <c r="F203">
        <v>8</v>
      </c>
      <c r="G203">
        <v>8671255.2706320006</v>
      </c>
      <c r="H203">
        <v>382631</v>
      </c>
      <c r="I203">
        <f t="shared" si="11"/>
        <v>8288624.2706320006</v>
      </c>
    </row>
    <row r="204" spans="1:12" x14ac:dyDescent="0.3">
      <c r="A204" s="1" t="s">
        <v>6</v>
      </c>
      <c r="B204">
        <f t="shared" si="9"/>
        <v>5.3759309999999996</v>
      </c>
      <c r="C204">
        <v>5375931</v>
      </c>
      <c r="D204">
        <v>1698908.9010000001</v>
      </c>
      <c r="E204">
        <f t="shared" si="10"/>
        <v>316021.3367693894</v>
      </c>
      <c r="F204">
        <v>8</v>
      </c>
      <c r="G204">
        <v>590297.68562400003</v>
      </c>
      <c r="H204">
        <v>70044.009999999995</v>
      </c>
      <c r="I204">
        <f t="shared" si="11"/>
        <v>520253.67562400002</v>
      </c>
    </row>
    <row r="205" spans="1:12" x14ac:dyDescent="0.3">
      <c r="A205" s="1" t="s">
        <v>7</v>
      </c>
      <c r="B205">
        <f t="shared" si="9"/>
        <v>1.3793500000000001</v>
      </c>
      <c r="C205">
        <v>1379350</v>
      </c>
      <c r="D205">
        <v>11953.592137018999</v>
      </c>
      <c r="E205">
        <f t="shared" si="10"/>
        <v>8666.1051488157445</v>
      </c>
      <c r="F205">
        <v>8</v>
      </c>
      <c r="G205">
        <v>108683.801424</v>
      </c>
      <c r="H205">
        <v>21101.81</v>
      </c>
      <c r="I205">
        <f t="shared" si="11"/>
        <v>87581.991424000007</v>
      </c>
    </row>
    <row r="206" spans="1:12" x14ac:dyDescent="0.3">
      <c r="A206" s="1" t="s">
        <v>8</v>
      </c>
      <c r="B206">
        <f t="shared" si="9"/>
        <v>10.902022000000001</v>
      </c>
      <c r="C206">
        <v>10902022</v>
      </c>
      <c r="D206">
        <v>203769.62262429998</v>
      </c>
      <c r="E206">
        <f t="shared" si="10"/>
        <v>18690.99352618257</v>
      </c>
      <c r="F206">
        <v>8</v>
      </c>
      <c r="G206">
        <v>784884.49099199998</v>
      </c>
      <c r="H206">
        <v>55064.18</v>
      </c>
      <c r="I206">
        <f t="shared" si="11"/>
        <v>729820.31099199993</v>
      </c>
    </row>
    <row r="207" spans="1:12" x14ac:dyDescent="0.3">
      <c r="A207" s="1" t="s">
        <v>31</v>
      </c>
      <c r="B207">
        <f t="shared" si="9"/>
        <v>41.431558000000003</v>
      </c>
      <c r="C207">
        <v>41431558</v>
      </c>
      <c r="D207">
        <v>929100.73120300996</v>
      </c>
      <c r="E207">
        <f t="shared" si="10"/>
        <v>22424.952766753544</v>
      </c>
      <c r="F207">
        <v>8</v>
      </c>
      <c r="G207">
        <v>3408736.6854360001</v>
      </c>
      <c r="H207">
        <v>252761.4</v>
      </c>
      <c r="I207">
        <f t="shared" si="11"/>
        <v>3155975.2854360002</v>
      </c>
    </row>
    <row r="208" spans="1:12" x14ac:dyDescent="0.3">
      <c r="A208" s="1" t="s">
        <v>9</v>
      </c>
      <c r="B208">
        <f t="shared" si="9"/>
        <v>5.2005980000000003</v>
      </c>
      <c r="C208">
        <v>5200598</v>
      </c>
      <c r="D208">
        <v>164794.09498776999</v>
      </c>
      <c r="E208">
        <f t="shared" si="10"/>
        <v>31687.528047307249</v>
      </c>
      <c r="F208">
        <v>8</v>
      </c>
      <c r="G208">
        <v>1027020.867696</v>
      </c>
      <c r="H208">
        <v>303079.59999999998</v>
      </c>
      <c r="I208">
        <f t="shared" si="11"/>
        <v>723941.26769600005</v>
      </c>
    </row>
    <row r="209" spans="1:9" x14ac:dyDescent="0.3">
      <c r="A209" s="1" t="s">
        <v>10</v>
      </c>
      <c r="B209">
        <f t="shared" si="9"/>
        <v>61.644061999999998</v>
      </c>
      <c r="C209">
        <v>61644062</v>
      </c>
      <c r="D209">
        <v>1817270.9486473</v>
      </c>
      <c r="E209">
        <f t="shared" si="10"/>
        <v>29480.064903044517</v>
      </c>
      <c r="F209">
        <v>8</v>
      </c>
      <c r="G209">
        <v>6224770.0755719999</v>
      </c>
      <c r="H209">
        <v>539610.1</v>
      </c>
      <c r="I209">
        <f t="shared" si="11"/>
        <v>5685159.9755720003</v>
      </c>
    </row>
    <row r="210" spans="1:9" x14ac:dyDescent="0.3">
      <c r="A210" s="1" t="s">
        <v>11</v>
      </c>
      <c r="B210">
        <f t="shared" si="9"/>
        <v>4.3054389999999998</v>
      </c>
      <c r="C210">
        <v>4305439</v>
      </c>
      <c r="D210">
        <v>282137.49699990998</v>
      </c>
      <c r="E210">
        <f t="shared" si="10"/>
        <v>65530.482954214422</v>
      </c>
      <c r="F210">
        <v>8</v>
      </c>
      <c r="G210">
        <v>263807.79778800003</v>
      </c>
      <c r="H210">
        <v>64978.98</v>
      </c>
      <c r="I210">
        <f t="shared" si="11"/>
        <v>198828.81778800001</v>
      </c>
    </row>
    <row r="211" spans="1:9" x14ac:dyDescent="0.3">
      <c r="A211" s="1" t="s">
        <v>12</v>
      </c>
      <c r="B211">
        <f t="shared" si="9"/>
        <v>10.158607999999999</v>
      </c>
      <c r="C211">
        <v>10158608</v>
      </c>
      <c r="D211">
        <v>24267573.678773001</v>
      </c>
      <c r="E211">
        <f t="shared" si="10"/>
        <v>2388868.0101420395</v>
      </c>
      <c r="F211">
        <v>8</v>
      </c>
      <c r="G211">
        <v>691591.95252000005</v>
      </c>
      <c r="H211">
        <v>35727.870000000003</v>
      </c>
      <c r="I211">
        <f t="shared" si="11"/>
        <v>655864.08252000005</v>
      </c>
    </row>
    <row r="212" spans="1:9" x14ac:dyDescent="0.3">
      <c r="A212" s="1" t="s">
        <v>13</v>
      </c>
      <c r="B212">
        <f t="shared" si="9"/>
        <v>3.9319470000000001</v>
      </c>
      <c r="C212">
        <v>3931947</v>
      </c>
      <c r="D212">
        <v>141123.40523982001</v>
      </c>
      <c r="E212">
        <f t="shared" si="10"/>
        <v>35891.482067235396</v>
      </c>
      <c r="F212">
        <v>8</v>
      </c>
      <c r="G212">
        <v>435905.12322000001</v>
      </c>
      <c r="H212">
        <v>9792.2810000000009</v>
      </c>
      <c r="I212">
        <f t="shared" si="11"/>
        <v>426112.84221999999</v>
      </c>
    </row>
    <row r="213" spans="1:9" x14ac:dyDescent="0.3">
      <c r="A213" s="1" t="s">
        <v>14</v>
      </c>
      <c r="B213">
        <f t="shared" si="9"/>
        <v>57.059007000000001</v>
      </c>
      <c r="C213">
        <v>57059007</v>
      </c>
      <c r="D213">
        <v>1596457.2876519</v>
      </c>
      <c r="E213">
        <f t="shared" si="10"/>
        <v>27979.058374638378</v>
      </c>
      <c r="F213">
        <v>8</v>
      </c>
      <c r="G213">
        <v>5133114.9385919999</v>
      </c>
      <c r="H213">
        <v>287283.5</v>
      </c>
      <c r="I213">
        <f t="shared" si="11"/>
        <v>4845831.4385919999</v>
      </c>
    </row>
    <row r="214" spans="1:9" x14ac:dyDescent="0.3">
      <c r="A214" s="1" t="s">
        <v>15</v>
      </c>
      <c r="B214">
        <f t="shared" si="9"/>
        <v>3.4430670000000001</v>
      </c>
      <c r="C214">
        <v>3443067</v>
      </c>
      <c r="D214">
        <v>20831.160250914003</v>
      </c>
      <c r="E214">
        <f t="shared" si="10"/>
        <v>6050.1756866520464</v>
      </c>
      <c r="F214">
        <v>8</v>
      </c>
      <c r="G214">
        <v>169664.752764</v>
      </c>
      <c r="H214">
        <v>30352.39</v>
      </c>
      <c r="I214">
        <f t="shared" si="11"/>
        <v>139312.36276400002</v>
      </c>
    </row>
    <row r="215" spans="1:9" x14ac:dyDescent="0.3">
      <c r="A215" s="1" t="s">
        <v>16</v>
      </c>
      <c r="B215">
        <f t="shared" si="9"/>
        <v>0.44617499999999999</v>
      </c>
      <c r="C215">
        <v>446175</v>
      </c>
      <c r="D215">
        <v>33720.269987918997</v>
      </c>
      <c r="E215">
        <f t="shared" si="10"/>
        <v>75576.332129588161</v>
      </c>
      <c r="F215">
        <v>8</v>
      </c>
      <c r="G215">
        <v>140233.18161599999</v>
      </c>
      <c r="H215">
        <v>1841.057</v>
      </c>
      <c r="I215">
        <f t="shared" si="11"/>
        <v>138392.12461599999</v>
      </c>
    </row>
    <row r="216" spans="1:9" x14ac:dyDescent="0.3">
      <c r="A216" s="1" t="s">
        <v>17</v>
      </c>
      <c r="B216">
        <f t="shared" si="9"/>
        <v>2.3101729999999998</v>
      </c>
      <c r="C216">
        <v>2310173</v>
      </c>
      <c r="D216">
        <v>14262.474482692</v>
      </c>
      <c r="E216">
        <f t="shared" si="10"/>
        <v>6173.7690132695698</v>
      </c>
      <c r="F216">
        <v>8</v>
      </c>
      <c r="G216">
        <v>150361.59510000001</v>
      </c>
      <c r="H216">
        <v>51698.21</v>
      </c>
      <c r="I216">
        <f t="shared" si="11"/>
        <v>98663.385100000014</v>
      </c>
    </row>
    <row r="217" spans="1:9" x14ac:dyDescent="0.3">
      <c r="A217" s="1" t="s">
        <v>18</v>
      </c>
      <c r="B217">
        <f t="shared" si="9"/>
        <v>0.39596900000000002</v>
      </c>
      <c r="C217">
        <v>395969</v>
      </c>
      <c r="D217">
        <v>5436.3031307953997</v>
      </c>
      <c r="E217">
        <f t="shared" si="10"/>
        <v>13729.112962871839</v>
      </c>
      <c r="F217">
        <v>8</v>
      </c>
      <c r="G217">
        <v>11461.071924</v>
      </c>
      <c r="H217">
        <v>10.006449999999999</v>
      </c>
      <c r="I217">
        <f t="shared" si="11"/>
        <v>11451.065473999999</v>
      </c>
    </row>
    <row r="218" spans="1:9" x14ac:dyDescent="0.3">
      <c r="A218" s="1" t="s">
        <v>19</v>
      </c>
      <c r="B218">
        <f t="shared" si="9"/>
        <v>16.148928999999999</v>
      </c>
      <c r="C218">
        <v>16148929</v>
      </c>
      <c r="D218">
        <v>572593.3897843</v>
      </c>
      <c r="E218">
        <f t="shared" si="10"/>
        <v>35457.050420142412</v>
      </c>
      <c r="F218">
        <v>8</v>
      </c>
      <c r="G218">
        <v>2046529.778832</v>
      </c>
      <c r="H218">
        <v>39573.620000000003</v>
      </c>
      <c r="I218">
        <f t="shared" si="11"/>
        <v>2006956.1588319999</v>
      </c>
    </row>
    <row r="219" spans="1:9" x14ac:dyDescent="0.3">
      <c r="A219" s="1" t="s">
        <v>20</v>
      </c>
      <c r="B219">
        <f t="shared" si="9"/>
        <v>38.230364000000002</v>
      </c>
      <c r="C219">
        <v>38230364</v>
      </c>
      <c r="D219">
        <v>1018543.0014096</v>
      </c>
      <c r="E219">
        <f t="shared" si="10"/>
        <v>26642.25225293696</v>
      </c>
      <c r="F219">
        <v>8</v>
      </c>
      <c r="G219">
        <v>2243913.1153919999</v>
      </c>
      <c r="H219">
        <v>168071.5</v>
      </c>
      <c r="I219">
        <f t="shared" si="11"/>
        <v>2075841.6153919999</v>
      </c>
    </row>
    <row r="220" spans="1:9" x14ac:dyDescent="0.3">
      <c r="A220" s="1" t="s">
        <v>21</v>
      </c>
      <c r="B220">
        <f t="shared" si="9"/>
        <v>10.419631000000001</v>
      </c>
      <c r="C220">
        <v>10419631</v>
      </c>
      <c r="D220">
        <v>171580.27528900001</v>
      </c>
      <c r="E220">
        <f t="shared" si="10"/>
        <v>16467.020308972555</v>
      </c>
      <c r="F220">
        <v>8</v>
      </c>
      <c r="G220">
        <v>743056.47493200004</v>
      </c>
      <c r="H220">
        <v>135829.4</v>
      </c>
      <c r="I220">
        <f t="shared" si="11"/>
        <v>607227.07493200002</v>
      </c>
    </row>
    <row r="221" spans="1:9" x14ac:dyDescent="0.3">
      <c r="A221" s="1" t="s">
        <v>22</v>
      </c>
      <c r="B221">
        <f t="shared" si="9"/>
        <v>21.730495999999999</v>
      </c>
      <c r="C221">
        <v>21730496</v>
      </c>
      <c r="D221">
        <v>388616.82248500001</v>
      </c>
      <c r="E221">
        <f t="shared" si="10"/>
        <v>17883.476865185225</v>
      </c>
      <c r="F221">
        <v>8</v>
      </c>
      <c r="G221">
        <v>925789.02598799998</v>
      </c>
      <c r="H221">
        <v>133399.79999999999</v>
      </c>
      <c r="I221">
        <f t="shared" si="11"/>
        <v>792389.22598799993</v>
      </c>
    </row>
    <row r="222" spans="1:9" x14ac:dyDescent="0.3">
      <c r="A222" s="1" t="s">
        <v>23</v>
      </c>
      <c r="B222">
        <f t="shared" si="9"/>
        <v>8.9249580000000002</v>
      </c>
      <c r="C222">
        <v>8924958</v>
      </c>
      <c r="D222">
        <v>2979544.6837467002</v>
      </c>
      <c r="E222">
        <f t="shared" si="10"/>
        <v>333844.11262738716</v>
      </c>
      <c r="F222">
        <v>8</v>
      </c>
      <c r="G222">
        <v>189818.50071600001</v>
      </c>
      <c r="H222">
        <v>498528.3</v>
      </c>
      <c r="I222">
        <f t="shared" si="11"/>
        <v>-308709.79928399995</v>
      </c>
    </row>
    <row r="223" spans="1:9" x14ac:dyDescent="0.3">
      <c r="A223" s="1" t="s">
        <v>24</v>
      </c>
      <c r="B223">
        <f t="shared" si="9"/>
        <v>1.9945299999999999</v>
      </c>
      <c r="C223">
        <v>1994530</v>
      </c>
      <c r="D223">
        <v>29718.006515000001</v>
      </c>
      <c r="E223">
        <f t="shared" si="10"/>
        <v>14899.754084922264</v>
      </c>
      <c r="F223">
        <v>8</v>
      </c>
      <c r="G223">
        <v>443803.563288</v>
      </c>
      <c r="H223">
        <v>26756.98</v>
      </c>
      <c r="I223">
        <f t="shared" si="11"/>
        <v>417046.58328800002</v>
      </c>
    </row>
    <row r="224" spans="1:9" x14ac:dyDescent="0.3">
      <c r="A224" s="1" t="s">
        <v>25</v>
      </c>
      <c r="B224">
        <f t="shared" si="9"/>
        <v>5.3769119999999999</v>
      </c>
      <c r="C224">
        <v>5376912</v>
      </c>
      <c r="D224">
        <v>45334.388400336</v>
      </c>
      <c r="E224">
        <f t="shared" si="10"/>
        <v>8431.3056267865268</v>
      </c>
      <c r="F224">
        <v>8</v>
      </c>
      <c r="G224">
        <v>1379102.0262480001</v>
      </c>
      <c r="H224">
        <v>24325.09</v>
      </c>
      <c r="I224">
        <f t="shared" si="11"/>
        <v>1354776.936248</v>
      </c>
    </row>
    <row r="225" spans="1:12" x14ac:dyDescent="0.3">
      <c r="A225" s="1" t="s">
        <v>26</v>
      </c>
      <c r="B225">
        <f t="shared" si="9"/>
        <v>59.370479000000003</v>
      </c>
      <c r="C225">
        <v>59370479</v>
      </c>
      <c r="D225">
        <v>1701811</v>
      </c>
      <c r="E225">
        <f t="shared" si="10"/>
        <v>28664.262587472134</v>
      </c>
      <c r="F225">
        <v>8</v>
      </c>
      <c r="G225">
        <v>5738773.3235280002</v>
      </c>
      <c r="H225">
        <v>55670.19</v>
      </c>
      <c r="I225">
        <f t="shared" si="11"/>
        <v>5683103.1335279997</v>
      </c>
    </row>
    <row r="226" spans="1:12" x14ac:dyDescent="0.3">
      <c r="A226" s="5" t="s">
        <v>0</v>
      </c>
      <c r="B226">
        <f t="shared" si="9"/>
        <v>8.1214230000000001</v>
      </c>
      <c r="C226">
        <v>8121423</v>
      </c>
      <c r="D226">
        <v>264000.25708790001</v>
      </c>
      <c r="E226">
        <f t="shared" si="10"/>
        <v>32506.650261647497</v>
      </c>
      <c r="F226">
        <v>9</v>
      </c>
      <c r="G226">
        <v>1038803.48586</v>
      </c>
      <c r="H226">
        <v>234549.3</v>
      </c>
      <c r="I226">
        <f t="shared" si="11"/>
        <v>804254.18586000009</v>
      </c>
      <c r="K226" s="4"/>
      <c r="L226" s="4"/>
    </row>
    <row r="227" spans="1:12" x14ac:dyDescent="0.3">
      <c r="A227" s="1" t="s">
        <v>1</v>
      </c>
      <c r="B227">
        <f t="shared" si="9"/>
        <v>10.376132999999999</v>
      </c>
      <c r="C227">
        <v>10376133</v>
      </c>
      <c r="D227">
        <v>318349.58616984001</v>
      </c>
      <c r="E227">
        <f t="shared" si="10"/>
        <v>30680.946954885796</v>
      </c>
      <c r="F227">
        <v>9</v>
      </c>
      <c r="G227">
        <v>1468020.5310239999</v>
      </c>
      <c r="H227">
        <v>27761.439999999999</v>
      </c>
      <c r="I227">
        <f t="shared" si="11"/>
        <v>1440259.091024</v>
      </c>
    </row>
    <row r="228" spans="1:12" x14ac:dyDescent="0.3">
      <c r="A228" s="1" t="s">
        <v>2</v>
      </c>
      <c r="B228">
        <f t="shared" si="9"/>
        <v>7.7753269999999999</v>
      </c>
      <c r="C228">
        <v>7775327</v>
      </c>
      <c r="D228">
        <v>55343.328531648003</v>
      </c>
      <c r="E228">
        <f t="shared" si="10"/>
        <v>7117.8136342880507</v>
      </c>
      <c r="F228">
        <v>9</v>
      </c>
      <c r="G228">
        <v>382054.12480799999</v>
      </c>
      <c r="H228">
        <v>35011.620000000003</v>
      </c>
      <c r="I228">
        <f t="shared" si="11"/>
        <v>347042.504808</v>
      </c>
    </row>
    <row r="229" spans="1:12" x14ac:dyDescent="0.3">
      <c r="A229" s="1" t="s">
        <v>3</v>
      </c>
      <c r="B229">
        <f t="shared" si="9"/>
        <v>0.71830700000000003</v>
      </c>
      <c r="C229">
        <v>718307</v>
      </c>
      <c r="D229">
        <v>15458.592000000001</v>
      </c>
      <c r="E229">
        <f t="shared" si="10"/>
        <v>21520.870602681025</v>
      </c>
      <c r="F229">
        <v>9</v>
      </c>
      <c r="G229">
        <v>61595.699183999997</v>
      </c>
      <c r="H229">
        <v>2006.2729999999999</v>
      </c>
      <c r="I229">
        <f t="shared" si="11"/>
        <v>59589.426183999996</v>
      </c>
    </row>
    <row r="230" spans="1:12" x14ac:dyDescent="0.3">
      <c r="A230" s="1" t="s">
        <v>4</v>
      </c>
      <c r="B230">
        <f t="shared" si="9"/>
        <v>10.193998000000001</v>
      </c>
      <c r="C230">
        <v>10193998</v>
      </c>
      <c r="D230">
        <v>3161360.8952966002</v>
      </c>
      <c r="E230">
        <f t="shared" si="10"/>
        <v>310119.82691154146</v>
      </c>
      <c r="F230">
        <v>9</v>
      </c>
      <c r="G230">
        <v>1047597.6917880001</v>
      </c>
      <c r="H230">
        <v>70438.03</v>
      </c>
      <c r="I230">
        <f t="shared" si="11"/>
        <v>977159.66178800003</v>
      </c>
    </row>
    <row r="231" spans="1:12" ht="24" x14ac:dyDescent="0.3">
      <c r="A231" s="2" t="s">
        <v>5</v>
      </c>
      <c r="B231">
        <f t="shared" si="9"/>
        <v>82.534176000000002</v>
      </c>
      <c r="C231">
        <v>82534176</v>
      </c>
      <c r="D231">
        <v>2372843.7499875999</v>
      </c>
      <c r="E231">
        <f t="shared" si="10"/>
        <v>28749.832675225349</v>
      </c>
      <c r="F231">
        <v>9</v>
      </c>
      <c r="G231">
        <v>8839115.9312759992</v>
      </c>
      <c r="H231">
        <v>447123.8</v>
      </c>
      <c r="I231">
        <f t="shared" si="11"/>
        <v>8391992.1312759984</v>
      </c>
    </row>
    <row r="232" spans="1:12" x14ac:dyDescent="0.3">
      <c r="A232" s="1" t="s">
        <v>6</v>
      </c>
      <c r="B232">
        <f t="shared" si="9"/>
        <v>5.390574</v>
      </c>
      <c r="C232">
        <v>5390574</v>
      </c>
      <c r="D232">
        <v>1705535.64</v>
      </c>
      <c r="E232">
        <f t="shared" si="10"/>
        <v>316392.21351937659</v>
      </c>
      <c r="F232">
        <v>9</v>
      </c>
      <c r="G232">
        <v>603211.99582800001</v>
      </c>
      <c r="H232">
        <v>76730.42</v>
      </c>
      <c r="I232">
        <f t="shared" si="11"/>
        <v>526481.57582799997</v>
      </c>
    </row>
    <row r="233" spans="1:12" x14ac:dyDescent="0.3">
      <c r="A233" s="1" t="s">
        <v>7</v>
      </c>
      <c r="B233">
        <f t="shared" si="9"/>
        <v>1.3707199999999999</v>
      </c>
      <c r="C233">
        <v>1370720</v>
      </c>
      <c r="D233">
        <v>12862.096819374001</v>
      </c>
      <c r="E233">
        <f t="shared" si="10"/>
        <v>9383.4603853259614</v>
      </c>
      <c r="F233">
        <v>9</v>
      </c>
      <c r="G233">
        <v>113969.51082</v>
      </c>
      <c r="H233">
        <v>22600.15</v>
      </c>
      <c r="I233">
        <f t="shared" si="11"/>
        <v>91369.360820000002</v>
      </c>
    </row>
    <row r="234" spans="1:12" x14ac:dyDescent="0.3">
      <c r="A234" s="1" t="s">
        <v>8</v>
      </c>
      <c r="B234">
        <f t="shared" si="9"/>
        <v>10.92807</v>
      </c>
      <c r="C234">
        <v>10928070</v>
      </c>
      <c r="D234">
        <v>215577.11710610002</v>
      </c>
      <c r="E234">
        <f t="shared" si="10"/>
        <v>19726.915832905539</v>
      </c>
      <c r="F234">
        <v>9</v>
      </c>
      <c r="G234">
        <v>826973.26095599995</v>
      </c>
      <c r="H234">
        <v>60225.86</v>
      </c>
      <c r="I234">
        <f t="shared" si="11"/>
        <v>766747.40095599997</v>
      </c>
    </row>
    <row r="235" spans="1:12" x14ac:dyDescent="0.3">
      <c r="A235" s="1" t="s">
        <v>31</v>
      </c>
      <c r="B235">
        <f t="shared" si="9"/>
        <v>42.187645000000003</v>
      </c>
      <c r="C235">
        <v>42187645</v>
      </c>
      <c r="D235">
        <v>956805.53792763001</v>
      </c>
      <c r="E235">
        <f t="shared" si="10"/>
        <v>22679.7570219345</v>
      </c>
      <c r="F235">
        <v>9</v>
      </c>
      <c r="G235">
        <v>3630282.7146839998</v>
      </c>
      <c r="H235">
        <v>323092.40000000002</v>
      </c>
      <c r="I235">
        <f t="shared" si="11"/>
        <v>3307190.3146839999</v>
      </c>
    </row>
    <row r="236" spans="1:12" x14ac:dyDescent="0.3">
      <c r="A236" s="1" t="s">
        <v>9</v>
      </c>
      <c r="B236">
        <f t="shared" si="9"/>
        <v>5.2130140000000003</v>
      </c>
      <c r="C236">
        <v>5213014</v>
      </c>
      <c r="D236">
        <v>168096.21303036998</v>
      </c>
      <c r="E236">
        <f t="shared" si="10"/>
        <v>32245.494263082732</v>
      </c>
      <c r="F236">
        <v>9</v>
      </c>
      <c r="G236">
        <v>1041126.699312</v>
      </c>
      <c r="H236">
        <v>295094.90000000002</v>
      </c>
      <c r="I236">
        <f t="shared" si="11"/>
        <v>746031.79931199993</v>
      </c>
    </row>
    <row r="237" spans="1:12" x14ac:dyDescent="0.3">
      <c r="A237" s="1" t="s">
        <v>10</v>
      </c>
      <c r="B237">
        <f t="shared" si="9"/>
        <v>62.078164999999998</v>
      </c>
      <c r="C237">
        <v>62078165</v>
      </c>
      <c r="D237">
        <v>1832230.0103636</v>
      </c>
      <c r="E237">
        <f t="shared" si="10"/>
        <v>29514.886761933121</v>
      </c>
      <c r="F237">
        <v>9</v>
      </c>
      <c r="G237">
        <v>6346281.3948360002</v>
      </c>
      <c r="H237">
        <v>561490.69999999995</v>
      </c>
      <c r="I237">
        <f t="shared" si="11"/>
        <v>5784790.694836</v>
      </c>
    </row>
    <row r="238" spans="1:12" x14ac:dyDescent="0.3">
      <c r="A238" s="1" t="s">
        <v>11</v>
      </c>
      <c r="B238">
        <f t="shared" si="9"/>
        <v>4.305555</v>
      </c>
      <c r="C238">
        <v>4305555</v>
      </c>
      <c r="D238">
        <v>297728.26472550002</v>
      </c>
      <c r="E238">
        <f t="shared" si="10"/>
        <v>69149.799439445094</v>
      </c>
      <c r="F238">
        <v>9</v>
      </c>
      <c r="G238">
        <v>282139.36664399999</v>
      </c>
      <c r="H238">
        <v>70083.81</v>
      </c>
      <c r="I238">
        <f t="shared" si="11"/>
        <v>212055.556644</v>
      </c>
    </row>
    <row r="239" spans="1:12" x14ac:dyDescent="0.3">
      <c r="A239" s="1" t="s">
        <v>12</v>
      </c>
      <c r="B239">
        <f t="shared" si="9"/>
        <v>10.129552</v>
      </c>
      <c r="C239">
        <v>10129552</v>
      </c>
      <c r="D239">
        <v>25258788.389249999</v>
      </c>
      <c r="E239">
        <f t="shared" si="10"/>
        <v>2493574.0879014195</v>
      </c>
      <c r="F239">
        <v>9</v>
      </c>
      <c r="G239">
        <v>722138.00795999996</v>
      </c>
      <c r="H239">
        <v>36172.82</v>
      </c>
      <c r="I239">
        <f t="shared" si="11"/>
        <v>685965.18796000001</v>
      </c>
    </row>
    <row r="240" spans="1:12" x14ac:dyDescent="0.3">
      <c r="A240" s="1" t="s">
        <v>13</v>
      </c>
      <c r="B240">
        <f t="shared" si="9"/>
        <v>3.996521</v>
      </c>
      <c r="C240">
        <v>3996521</v>
      </c>
      <c r="D240">
        <v>145370.99035410001</v>
      </c>
      <c r="E240">
        <f t="shared" si="10"/>
        <v>36374.384209190946</v>
      </c>
      <c r="F240">
        <v>9</v>
      </c>
      <c r="G240">
        <v>450561.05848800001</v>
      </c>
      <c r="H240">
        <v>9073.4159999999993</v>
      </c>
      <c r="I240">
        <f t="shared" si="11"/>
        <v>441487.64248799998</v>
      </c>
    </row>
    <row r="241" spans="1:12" x14ac:dyDescent="0.3">
      <c r="A241" s="1" t="s">
        <v>14</v>
      </c>
      <c r="B241">
        <f t="shared" si="9"/>
        <v>57.313203000000001</v>
      </c>
      <c r="C241">
        <v>57313203</v>
      </c>
      <c r="D241">
        <v>1598670.4067523</v>
      </c>
      <c r="E241">
        <f t="shared" si="10"/>
        <v>27893.579892093974</v>
      </c>
      <c r="F241">
        <v>9</v>
      </c>
      <c r="G241">
        <v>5405876.333784</v>
      </c>
      <c r="H241">
        <v>337358.4</v>
      </c>
      <c r="I241">
        <f t="shared" si="11"/>
        <v>5068517.9337839996</v>
      </c>
    </row>
    <row r="242" spans="1:12" x14ac:dyDescent="0.3">
      <c r="A242" s="1" t="s">
        <v>15</v>
      </c>
      <c r="B242">
        <f t="shared" si="9"/>
        <v>3.4152130000000001</v>
      </c>
      <c r="C242">
        <v>3415213</v>
      </c>
      <c r="D242">
        <v>23032.170996629</v>
      </c>
      <c r="E242">
        <f t="shared" si="10"/>
        <v>6743.9925406201601</v>
      </c>
      <c r="F242">
        <v>9</v>
      </c>
      <c r="G242">
        <v>174764.65197599999</v>
      </c>
      <c r="H242">
        <v>31572.36</v>
      </c>
      <c r="I242">
        <f t="shared" si="11"/>
        <v>143192.29197600001</v>
      </c>
    </row>
    <row r="243" spans="1:12" x14ac:dyDescent="0.3">
      <c r="A243" s="1" t="s">
        <v>16</v>
      </c>
      <c r="B243">
        <f t="shared" si="9"/>
        <v>0.45162999999999998</v>
      </c>
      <c r="C243">
        <v>451630</v>
      </c>
      <c r="D243">
        <v>34603.531516894996</v>
      </c>
      <c r="E243">
        <f t="shared" si="10"/>
        <v>76619.204917509909</v>
      </c>
      <c r="F243">
        <v>9</v>
      </c>
      <c r="G243">
        <v>149752.29009600001</v>
      </c>
      <c r="H243">
        <v>1904.62</v>
      </c>
      <c r="I243">
        <f t="shared" si="11"/>
        <v>147847.67009600002</v>
      </c>
    </row>
    <row r="244" spans="1:12" x14ac:dyDescent="0.3">
      <c r="A244" s="1" t="s">
        <v>17</v>
      </c>
      <c r="B244">
        <f t="shared" si="9"/>
        <v>2.2879550000000002</v>
      </c>
      <c r="C244">
        <v>2287955</v>
      </c>
      <c r="D244">
        <v>15463.73057697</v>
      </c>
      <c r="E244">
        <f t="shared" si="10"/>
        <v>6758.7564340076615</v>
      </c>
      <c r="F244">
        <v>9</v>
      </c>
      <c r="G244">
        <v>157440.59467200001</v>
      </c>
      <c r="H244">
        <v>54061.42</v>
      </c>
      <c r="I244">
        <f t="shared" si="11"/>
        <v>103379.17467200001</v>
      </c>
    </row>
    <row r="245" spans="1:12" x14ac:dyDescent="0.3">
      <c r="A245" s="1" t="s">
        <v>18</v>
      </c>
      <c r="B245">
        <f t="shared" si="9"/>
        <v>0.39858199999999999</v>
      </c>
      <c r="C245">
        <v>398582</v>
      </c>
      <c r="D245">
        <v>5657.7817946501</v>
      </c>
      <c r="E245">
        <f t="shared" si="10"/>
        <v>14194.774963872178</v>
      </c>
      <c r="F245">
        <v>9</v>
      </c>
      <c r="G245">
        <v>13187.582640000001</v>
      </c>
      <c r="H245">
        <v>12.97908</v>
      </c>
      <c r="I245">
        <f t="shared" si="11"/>
        <v>13174.603560000001</v>
      </c>
    </row>
    <row r="246" spans="1:12" x14ac:dyDescent="0.3">
      <c r="A246" s="1" t="s">
        <v>19</v>
      </c>
      <c r="B246">
        <f t="shared" si="9"/>
        <v>16.225301999999999</v>
      </c>
      <c r="C246">
        <v>16225302</v>
      </c>
      <c r="D246">
        <v>573484.60884023993</v>
      </c>
      <c r="E246">
        <f t="shared" si="10"/>
        <v>35345.080716540127</v>
      </c>
      <c r="F246">
        <v>9</v>
      </c>
      <c r="G246">
        <v>2080159.8730200001</v>
      </c>
      <c r="H246">
        <v>40030.99</v>
      </c>
      <c r="I246">
        <f t="shared" si="11"/>
        <v>2040128.8830200001</v>
      </c>
    </row>
    <row r="247" spans="1:12" x14ac:dyDescent="0.3">
      <c r="A247" s="1" t="s">
        <v>20</v>
      </c>
      <c r="B247">
        <f t="shared" si="9"/>
        <v>38.204569999999997</v>
      </c>
      <c r="C247">
        <v>38204570</v>
      </c>
      <c r="D247">
        <v>1054175.6716825</v>
      </c>
      <c r="E247">
        <f t="shared" si="10"/>
        <v>27592.92073389388</v>
      </c>
      <c r="F247">
        <v>9</v>
      </c>
      <c r="G247">
        <v>2307369.512232</v>
      </c>
      <c r="H247">
        <v>168275</v>
      </c>
      <c r="I247">
        <f t="shared" si="11"/>
        <v>2139094.512232</v>
      </c>
    </row>
    <row r="248" spans="1:12" x14ac:dyDescent="0.3">
      <c r="A248" s="1" t="s">
        <v>21</v>
      </c>
      <c r="B248">
        <f t="shared" si="9"/>
        <v>10.458821</v>
      </c>
      <c r="C248">
        <v>10458821</v>
      </c>
      <c r="D248">
        <v>169983.68456851001</v>
      </c>
      <c r="E248">
        <f t="shared" si="10"/>
        <v>16252.662185203286</v>
      </c>
      <c r="F248">
        <v>9</v>
      </c>
      <c r="G248">
        <v>739756.22983199998</v>
      </c>
      <c r="H248">
        <v>163430.5</v>
      </c>
      <c r="I248">
        <f t="shared" si="11"/>
        <v>576325.72983199998</v>
      </c>
    </row>
    <row r="249" spans="1:12" x14ac:dyDescent="0.3">
      <c r="A249" s="1" t="s">
        <v>22</v>
      </c>
      <c r="B249">
        <f t="shared" si="9"/>
        <v>21.574325999999999</v>
      </c>
      <c r="C249">
        <v>21574326</v>
      </c>
      <c r="D249">
        <v>397714.91444899997</v>
      </c>
      <c r="E249">
        <f t="shared" si="10"/>
        <v>18434.639137695423</v>
      </c>
      <c r="F249">
        <v>9</v>
      </c>
      <c r="G249">
        <v>967894.29194400006</v>
      </c>
      <c r="H249">
        <v>151682.70000000001</v>
      </c>
      <c r="I249">
        <f t="shared" si="11"/>
        <v>816211.59194399999</v>
      </c>
    </row>
    <row r="250" spans="1:12" x14ac:dyDescent="0.3">
      <c r="A250" s="1" t="s">
        <v>23</v>
      </c>
      <c r="B250">
        <f t="shared" si="9"/>
        <v>8.9582289999999993</v>
      </c>
      <c r="C250">
        <v>8958229</v>
      </c>
      <c r="D250">
        <v>3048366.5223953999</v>
      </c>
      <c r="E250">
        <f t="shared" si="10"/>
        <v>340286.73774642288</v>
      </c>
      <c r="F250">
        <v>9</v>
      </c>
      <c r="G250">
        <v>195136.32286799999</v>
      </c>
      <c r="H250">
        <v>478996.6</v>
      </c>
      <c r="I250">
        <f t="shared" si="11"/>
        <v>-283860.27713199996</v>
      </c>
    </row>
    <row r="251" spans="1:12" x14ac:dyDescent="0.3">
      <c r="A251" s="1" t="s">
        <v>24</v>
      </c>
      <c r="B251">
        <f t="shared" si="9"/>
        <v>1.995733</v>
      </c>
      <c r="C251">
        <v>1995733</v>
      </c>
      <c r="D251">
        <v>30597.736830000002</v>
      </c>
      <c r="E251">
        <f t="shared" si="10"/>
        <v>15331.578337382807</v>
      </c>
      <c r="F251">
        <v>9</v>
      </c>
      <c r="G251">
        <v>422447.49197999999</v>
      </c>
      <c r="H251">
        <v>27677.61</v>
      </c>
      <c r="I251">
        <f t="shared" si="11"/>
        <v>394769.88198000001</v>
      </c>
    </row>
    <row r="252" spans="1:12" x14ac:dyDescent="0.3">
      <c r="A252" s="1" t="s">
        <v>25</v>
      </c>
      <c r="B252">
        <f t="shared" si="9"/>
        <v>5.3733740000000001</v>
      </c>
      <c r="C252">
        <v>5373374</v>
      </c>
      <c r="D252">
        <v>47827.364507781997</v>
      </c>
      <c r="E252">
        <f t="shared" si="10"/>
        <v>8900.8069246216619</v>
      </c>
      <c r="F252">
        <v>9</v>
      </c>
      <c r="G252">
        <v>1372073.18454</v>
      </c>
      <c r="H252">
        <v>22587.71</v>
      </c>
      <c r="I252">
        <f t="shared" si="11"/>
        <v>1349485.4745400001</v>
      </c>
    </row>
    <row r="253" spans="1:12" x14ac:dyDescent="0.3">
      <c r="A253" s="1" t="s">
        <v>26</v>
      </c>
      <c r="B253">
        <f t="shared" si="9"/>
        <v>59.647576999999998</v>
      </c>
      <c r="C253">
        <v>59647577</v>
      </c>
      <c r="D253">
        <v>1753374</v>
      </c>
      <c r="E253">
        <f t="shared" si="10"/>
        <v>29395.561197733146</v>
      </c>
      <c r="F253">
        <v>9</v>
      </c>
      <c r="G253">
        <v>5784580.4743079999</v>
      </c>
      <c r="H253">
        <v>54084.69</v>
      </c>
      <c r="I253">
        <f t="shared" si="11"/>
        <v>5730495.7843079995</v>
      </c>
    </row>
    <row r="254" spans="1:12" x14ac:dyDescent="0.3">
      <c r="A254" s="5" t="s">
        <v>0</v>
      </c>
      <c r="B254">
        <f t="shared" si="9"/>
        <v>8.1719659999999994</v>
      </c>
      <c r="C254">
        <v>8171966</v>
      </c>
      <c r="D254">
        <v>271220.98150673002</v>
      </c>
      <c r="E254">
        <f t="shared" si="10"/>
        <v>33189.19602782611</v>
      </c>
      <c r="F254">
        <v>10</v>
      </c>
      <c r="G254">
        <v>1051952.005656</v>
      </c>
      <c r="H254">
        <v>244256.6</v>
      </c>
      <c r="I254">
        <f t="shared" si="11"/>
        <v>807695.40565600002</v>
      </c>
      <c r="K254" s="4"/>
      <c r="L254" s="4"/>
    </row>
    <row r="255" spans="1:12" x14ac:dyDescent="0.3">
      <c r="A255" s="1" t="s">
        <v>1</v>
      </c>
      <c r="B255">
        <f t="shared" si="9"/>
        <v>10.421137</v>
      </c>
      <c r="C255">
        <v>10421137</v>
      </c>
      <c r="D255">
        <v>329718.50041820004</v>
      </c>
      <c r="E255">
        <f t="shared" si="10"/>
        <v>31639.397929247072</v>
      </c>
      <c r="F255">
        <v>10</v>
      </c>
      <c r="G255">
        <v>1473503.6899079999</v>
      </c>
      <c r="H255">
        <v>29827.22</v>
      </c>
      <c r="I255">
        <f t="shared" si="11"/>
        <v>1443676.469908</v>
      </c>
    </row>
    <row r="256" spans="1:12" x14ac:dyDescent="0.3">
      <c r="A256" s="1" t="s">
        <v>2</v>
      </c>
      <c r="B256">
        <f t="shared" si="9"/>
        <v>7.7168599999999996</v>
      </c>
      <c r="C256">
        <v>7716860</v>
      </c>
      <c r="D256">
        <v>58946.415191223998</v>
      </c>
      <c r="E256">
        <f t="shared" si="10"/>
        <v>7638.6529224612086</v>
      </c>
      <c r="F256">
        <v>10</v>
      </c>
      <c r="G256">
        <v>380532.013668</v>
      </c>
      <c r="H256">
        <v>36536.44</v>
      </c>
      <c r="I256">
        <f t="shared" si="11"/>
        <v>343995.573668</v>
      </c>
    </row>
    <row r="257" spans="1:9" x14ac:dyDescent="0.3">
      <c r="A257" s="1" t="s">
        <v>3</v>
      </c>
      <c r="B257">
        <f t="shared" si="9"/>
        <v>0.72797999999999996</v>
      </c>
      <c r="C257">
        <v>727980</v>
      </c>
      <c r="D257">
        <v>16235.593999999999</v>
      </c>
      <c r="E257">
        <f t="shared" si="10"/>
        <v>22302.252809143109</v>
      </c>
      <c r="F257">
        <v>10</v>
      </c>
      <c r="G257">
        <v>63311.449824000003</v>
      </c>
      <c r="H257">
        <v>2092.018</v>
      </c>
      <c r="I257">
        <f t="shared" si="11"/>
        <v>61219.431823999999</v>
      </c>
    </row>
    <row r="258" spans="1:9" x14ac:dyDescent="0.3">
      <c r="A258" s="1" t="s">
        <v>4</v>
      </c>
      <c r="B258">
        <f t="shared" si="9"/>
        <v>10.197101</v>
      </c>
      <c r="C258">
        <v>10197101</v>
      </c>
      <c r="D258">
        <v>3313557.0599882999</v>
      </c>
      <c r="E258">
        <f t="shared" si="10"/>
        <v>324950.89143358491</v>
      </c>
      <c r="F258">
        <v>10</v>
      </c>
      <c r="G258">
        <v>1059999.035256</v>
      </c>
      <c r="H258">
        <v>75409.55</v>
      </c>
      <c r="I258">
        <f t="shared" si="11"/>
        <v>984589.48525599996</v>
      </c>
    </row>
    <row r="259" spans="1:9" ht="24" x14ac:dyDescent="0.3">
      <c r="A259" s="2" t="s">
        <v>5</v>
      </c>
      <c r="B259">
        <f t="shared" ref="B259:B322" si="12">C259/1000000</f>
        <v>82.516260000000003</v>
      </c>
      <c r="C259">
        <v>82516260</v>
      </c>
      <c r="D259">
        <v>2400726.7552752998</v>
      </c>
      <c r="E259">
        <f t="shared" ref="E259:E322" si="13">D259/B259</f>
        <v>29093.984085988624</v>
      </c>
      <c r="F259">
        <v>10</v>
      </c>
      <c r="G259">
        <v>8763328.4036040008</v>
      </c>
      <c r="H259">
        <v>510485.3</v>
      </c>
      <c r="I259">
        <f t="shared" ref="I259:I322" si="14">G259-H259</f>
        <v>8252843.103604001</v>
      </c>
    </row>
    <row r="260" spans="1:9" x14ac:dyDescent="0.3">
      <c r="A260" s="1" t="s">
        <v>6</v>
      </c>
      <c r="B260">
        <f t="shared" si="12"/>
        <v>5.4045230000000002</v>
      </c>
      <c r="C260">
        <v>5404523</v>
      </c>
      <c r="D260">
        <v>1751043.071</v>
      </c>
      <c r="E260">
        <f t="shared" si="13"/>
        <v>323995.85883897613</v>
      </c>
      <c r="F260">
        <v>10</v>
      </c>
      <c r="G260">
        <v>608641.39619999996</v>
      </c>
      <c r="H260">
        <v>87943.02</v>
      </c>
      <c r="I260">
        <f t="shared" si="14"/>
        <v>520698.37619999994</v>
      </c>
    </row>
    <row r="261" spans="1:9" x14ac:dyDescent="0.3">
      <c r="A261" s="1" t="s">
        <v>7</v>
      </c>
      <c r="B261">
        <f t="shared" si="12"/>
        <v>1.3625499999999999</v>
      </c>
      <c r="C261">
        <v>1362550</v>
      </c>
      <c r="D261">
        <v>13737.234363923999</v>
      </c>
      <c r="E261">
        <f t="shared" si="13"/>
        <v>10082.003863288686</v>
      </c>
      <c r="F261">
        <v>10</v>
      </c>
      <c r="G261">
        <v>116297.49722400001</v>
      </c>
      <c r="H261">
        <v>23244.55</v>
      </c>
      <c r="I261">
        <f t="shared" si="14"/>
        <v>93052.947224000003</v>
      </c>
    </row>
    <row r="262" spans="1:9" x14ac:dyDescent="0.3">
      <c r="A262" s="1" t="s">
        <v>8</v>
      </c>
      <c r="B262">
        <f t="shared" si="12"/>
        <v>10.955140999999999</v>
      </c>
      <c r="C262">
        <v>10955141</v>
      </c>
      <c r="D262">
        <v>226487.45900395999</v>
      </c>
      <c r="E262">
        <f t="shared" si="13"/>
        <v>20674.079777153027</v>
      </c>
      <c r="F262">
        <v>10</v>
      </c>
      <c r="G262">
        <v>816888.89260799997</v>
      </c>
      <c r="H262">
        <v>61593.27</v>
      </c>
      <c r="I262">
        <f t="shared" si="14"/>
        <v>755295.62260799995</v>
      </c>
    </row>
    <row r="263" spans="1:9" x14ac:dyDescent="0.3">
      <c r="A263" s="1" t="s">
        <v>31</v>
      </c>
      <c r="B263">
        <f t="shared" si="12"/>
        <v>42.921894999999999</v>
      </c>
      <c r="C263">
        <v>42921895</v>
      </c>
      <c r="D263">
        <v>986684.61573657999</v>
      </c>
      <c r="E263">
        <f t="shared" si="13"/>
        <v>22987.908985299462</v>
      </c>
      <c r="F263">
        <v>10</v>
      </c>
      <c r="G263">
        <v>3796583.3317800001</v>
      </c>
      <c r="H263">
        <v>304944.90000000002</v>
      </c>
      <c r="I263">
        <f t="shared" si="14"/>
        <v>3491638.4317800002</v>
      </c>
    </row>
    <row r="264" spans="1:9" x14ac:dyDescent="0.3">
      <c r="A264" s="1" t="s">
        <v>9</v>
      </c>
      <c r="B264">
        <f t="shared" si="12"/>
        <v>5.2281719999999998</v>
      </c>
      <c r="C264">
        <v>5228172</v>
      </c>
      <c r="D264">
        <v>174806.76731010998</v>
      </c>
      <c r="E264">
        <f t="shared" si="13"/>
        <v>33435.542539554932</v>
      </c>
      <c r="F264">
        <v>10</v>
      </c>
      <c r="G264">
        <v>1050289.3436400001</v>
      </c>
      <c r="H264">
        <v>326522.5</v>
      </c>
      <c r="I264">
        <f t="shared" si="14"/>
        <v>723766.84364000009</v>
      </c>
    </row>
    <row r="265" spans="1:9" x14ac:dyDescent="0.3">
      <c r="A265" s="1" t="s">
        <v>10</v>
      </c>
      <c r="B265">
        <f t="shared" si="12"/>
        <v>62.532556</v>
      </c>
      <c r="C265">
        <v>62532556</v>
      </c>
      <c r="D265">
        <v>1884077.5927148</v>
      </c>
      <c r="E265">
        <f t="shared" si="13"/>
        <v>30129.547122858694</v>
      </c>
      <c r="F265">
        <v>10</v>
      </c>
      <c r="G265">
        <v>6416317.3478760002</v>
      </c>
      <c r="H265">
        <v>570263.80000000005</v>
      </c>
      <c r="I265">
        <f t="shared" si="14"/>
        <v>5846053.5478760004</v>
      </c>
    </row>
    <row r="266" spans="1:9" x14ac:dyDescent="0.3">
      <c r="A266" s="1" t="s">
        <v>11</v>
      </c>
      <c r="B266">
        <f t="shared" si="12"/>
        <v>4.3082929999999999</v>
      </c>
      <c r="C266">
        <v>4308293</v>
      </c>
      <c r="D266">
        <v>310082.01321806002</v>
      </c>
      <c r="E266">
        <f t="shared" si="13"/>
        <v>71973.288079074482</v>
      </c>
      <c r="F266">
        <v>10</v>
      </c>
      <c r="G266">
        <v>289324.25038799999</v>
      </c>
      <c r="H266">
        <v>76917.539999999994</v>
      </c>
      <c r="I266">
        <f t="shared" si="14"/>
        <v>212406.71038800001</v>
      </c>
    </row>
    <row r="267" spans="1:9" x14ac:dyDescent="0.3">
      <c r="A267" s="1" t="s">
        <v>12</v>
      </c>
      <c r="B267">
        <f t="shared" si="12"/>
        <v>10.107146</v>
      </c>
      <c r="C267">
        <v>10107146</v>
      </c>
      <c r="D267">
        <v>26521841.049872</v>
      </c>
      <c r="E267">
        <f t="shared" si="13"/>
        <v>2624068.2631745893</v>
      </c>
      <c r="F267">
        <v>10</v>
      </c>
      <c r="G267">
        <v>713900.10214800003</v>
      </c>
      <c r="H267">
        <v>33044.11</v>
      </c>
      <c r="I267">
        <f t="shared" si="14"/>
        <v>680855.99214800005</v>
      </c>
    </row>
    <row r="268" spans="1:9" x14ac:dyDescent="0.3">
      <c r="A268" s="1" t="s">
        <v>13</v>
      </c>
      <c r="B268">
        <f t="shared" si="12"/>
        <v>4.0702619999999996</v>
      </c>
      <c r="C268">
        <v>4070262</v>
      </c>
      <c r="D268">
        <v>155236.12883998998</v>
      </c>
      <c r="E268">
        <f t="shared" si="13"/>
        <v>38139.099851555009</v>
      </c>
      <c r="F268">
        <v>10</v>
      </c>
      <c r="G268">
        <v>463591.88733599999</v>
      </c>
      <c r="H268">
        <v>10724.96</v>
      </c>
      <c r="I268">
        <f t="shared" si="14"/>
        <v>452866.92733599996</v>
      </c>
    </row>
    <row r="269" spans="1:9" x14ac:dyDescent="0.3">
      <c r="A269" s="1" t="s">
        <v>14</v>
      </c>
      <c r="B269">
        <f t="shared" si="12"/>
        <v>57.685327000000001</v>
      </c>
      <c r="C269">
        <v>57685327</v>
      </c>
      <c r="D269">
        <v>1621428.9852713998</v>
      </c>
      <c r="E269">
        <f t="shared" si="13"/>
        <v>28108.170129145663</v>
      </c>
      <c r="F269">
        <v>10</v>
      </c>
      <c r="G269">
        <v>5427240.4437480001</v>
      </c>
      <c r="H269">
        <v>322158.2</v>
      </c>
      <c r="I269">
        <f t="shared" si="14"/>
        <v>5105082.2437479999</v>
      </c>
    </row>
    <row r="270" spans="1:9" x14ac:dyDescent="0.3">
      <c r="A270" s="1" t="s">
        <v>15</v>
      </c>
      <c r="B270">
        <f t="shared" si="12"/>
        <v>3.377075</v>
      </c>
      <c r="C270">
        <v>3377075</v>
      </c>
      <c r="D270">
        <v>24545.267861215998</v>
      </c>
      <c r="E270">
        <f t="shared" si="13"/>
        <v>7268.2033597761365</v>
      </c>
      <c r="F270">
        <v>10</v>
      </c>
      <c r="G270">
        <v>182476.27702800001</v>
      </c>
      <c r="H270">
        <v>32967.629999999997</v>
      </c>
      <c r="I270">
        <f t="shared" si="14"/>
        <v>149508.64702800001</v>
      </c>
    </row>
    <row r="271" spans="1:9" x14ac:dyDescent="0.3">
      <c r="A271" s="1" t="s">
        <v>16</v>
      </c>
      <c r="B271">
        <f t="shared" si="12"/>
        <v>0.45809499999999997</v>
      </c>
      <c r="C271">
        <v>458095</v>
      </c>
      <c r="D271">
        <v>36067.915359196995</v>
      </c>
      <c r="E271">
        <f t="shared" si="13"/>
        <v>78734.575490230185</v>
      </c>
      <c r="F271">
        <v>10</v>
      </c>
      <c r="G271">
        <v>166599.72208800001</v>
      </c>
      <c r="H271">
        <v>2269.1030000000001</v>
      </c>
      <c r="I271">
        <f t="shared" si="14"/>
        <v>164330.61908800001</v>
      </c>
    </row>
    <row r="272" spans="1:9" x14ac:dyDescent="0.3">
      <c r="A272" s="1" t="s">
        <v>17</v>
      </c>
      <c r="B272">
        <f t="shared" si="12"/>
        <v>2.2631220000000001</v>
      </c>
      <c r="C272">
        <v>2263122</v>
      </c>
      <c r="D272">
        <v>16744.432426927</v>
      </c>
      <c r="E272">
        <f t="shared" si="13"/>
        <v>7398.8200489973578</v>
      </c>
      <c r="F272">
        <v>10</v>
      </c>
      <c r="G272">
        <v>161719.04372399999</v>
      </c>
      <c r="H272">
        <v>58400.75</v>
      </c>
      <c r="I272">
        <f t="shared" si="14"/>
        <v>103318.29372399999</v>
      </c>
    </row>
    <row r="273" spans="1:12" x14ac:dyDescent="0.3">
      <c r="A273" s="1" t="s">
        <v>18</v>
      </c>
      <c r="B273">
        <f t="shared" si="12"/>
        <v>0.40126800000000001</v>
      </c>
      <c r="C273">
        <v>401268</v>
      </c>
      <c r="D273">
        <v>5665.7178823090999</v>
      </c>
      <c r="E273">
        <f t="shared" si="13"/>
        <v>14119.535777358522</v>
      </c>
      <c r="F273">
        <v>10</v>
      </c>
      <c r="G273">
        <v>14225.155416</v>
      </c>
      <c r="H273">
        <v>16.99841</v>
      </c>
      <c r="I273">
        <f t="shared" si="14"/>
        <v>14208.157005999999</v>
      </c>
    </row>
    <row r="274" spans="1:12" x14ac:dyDescent="0.3">
      <c r="A274" s="1" t="s">
        <v>19</v>
      </c>
      <c r="B274">
        <f t="shared" si="12"/>
        <v>16.281779</v>
      </c>
      <c r="C274">
        <v>16281779</v>
      </c>
      <c r="D274">
        <v>584867.96687453007</v>
      </c>
      <c r="E274">
        <f t="shared" si="13"/>
        <v>35921.625448578445</v>
      </c>
      <c r="F274">
        <v>10</v>
      </c>
      <c r="G274">
        <v>2099169.5360039999</v>
      </c>
      <c r="H274">
        <v>47010.47</v>
      </c>
      <c r="I274">
        <f t="shared" si="14"/>
        <v>2052159.0660039999</v>
      </c>
    </row>
    <row r="275" spans="1:12" x14ac:dyDescent="0.3">
      <c r="A275" s="1" t="s">
        <v>20</v>
      </c>
      <c r="B275">
        <f t="shared" si="12"/>
        <v>38.182222000000003</v>
      </c>
      <c r="C275">
        <v>38182222</v>
      </c>
      <c r="D275">
        <v>1106703.4068481</v>
      </c>
      <c r="E275">
        <f t="shared" si="13"/>
        <v>28984.78267839153</v>
      </c>
      <c r="F275">
        <v>10</v>
      </c>
      <c r="G275">
        <v>2368553.5652399999</v>
      </c>
      <c r="H275">
        <v>173142</v>
      </c>
      <c r="I275">
        <f t="shared" si="14"/>
        <v>2195411.5652399999</v>
      </c>
    </row>
    <row r="276" spans="1:12" x14ac:dyDescent="0.3">
      <c r="A276" s="1" t="s">
        <v>21</v>
      </c>
      <c r="B276">
        <f t="shared" si="12"/>
        <v>10.483860999999999</v>
      </c>
      <c r="C276">
        <v>10483861</v>
      </c>
      <c r="D276">
        <v>173024.24350945998</v>
      </c>
      <c r="E276">
        <f t="shared" si="13"/>
        <v>16503.866610732439</v>
      </c>
      <c r="F276">
        <v>10</v>
      </c>
      <c r="G276">
        <v>749386.288512</v>
      </c>
      <c r="H276">
        <v>148898</v>
      </c>
      <c r="I276">
        <f t="shared" si="14"/>
        <v>600488.288512</v>
      </c>
    </row>
    <row r="277" spans="1:12" x14ac:dyDescent="0.3">
      <c r="A277" s="1" t="s">
        <v>22</v>
      </c>
      <c r="B277">
        <f t="shared" si="12"/>
        <v>21.451747999999998</v>
      </c>
      <c r="C277">
        <v>21451748</v>
      </c>
      <c r="D277">
        <v>439189.107899</v>
      </c>
      <c r="E277">
        <f t="shared" si="13"/>
        <v>20473.348274415679</v>
      </c>
      <c r="F277">
        <v>10</v>
      </c>
      <c r="G277">
        <v>982888.81372800004</v>
      </c>
      <c r="H277">
        <v>169797.2</v>
      </c>
      <c r="I277">
        <f t="shared" si="14"/>
        <v>813091.61372800008</v>
      </c>
    </row>
    <row r="278" spans="1:12" x14ac:dyDescent="0.3">
      <c r="A278" s="1" t="s">
        <v>23</v>
      </c>
      <c r="B278">
        <f t="shared" si="12"/>
        <v>8.9935310000000008</v>
      </c>
      <c r="C278">
        <v>8993531</v>
      </c>
      <c r="D278">
        <v>3180569.7935137004</v>
      </c>
      <c r="E278">
        <f t="shared" si="13"/>
        <v>353650.84008869267</v>
      </c>
      <c r="F278">
        <v>10</v>
      </c>
      <c r="G278">
        <v>199929.37150800001</v>
      </c>
      <c r="H278">
        <v>488255.9</v>
      </c>
      <c r="I278">
        <f t="shared" si="14"/>
        <v>-288326.52849200001</v>
      </c>
    </row>
    <row r="279" spans="1:12" x14ac:dyDescent="0.3">
      <c r="A279" s="1" t="s">
        <v>24</v>
      </c>
      <c r="B279">
        <f t="shared" si="12"/>
        <v>1.997012</v>
      </c>
      <c r="C279">
        <v>1997012</v>
      </c>
      <c r="D279">
        <v>31931.551254999998</v>
      </c>
      <c r="E279">
        <f t="shared" si="13"/>
        <v>15989.664185793576</v>
      </c>
      <c r="F279">
        <v>10</v>
      </c>
      <c r="G279">
        <v>417552.11794800003</v>
      </c>
      <c r="H279">
        <v>30810.22</v>
      </c>
      <c r="I279">
        <f t="shared" si="14"/>
        <v>386741.897948</v>
      </c>
    </row>
    <row r="280" spans="1:12" x14ac:dyDescent="0.3">
      <c r="A280" s="1" t="s">
        <v>25</v>
      </c>
      <c r="B280">
        <f t="shared" si="12"/>
        <v>5.3722799999999999</v>
      </c>
      <c r="C280">
        <v>5372280</v>
      </c>
      <c r="D280">
        <v>50352.113470077005</v>
      </c>
      <c r="E280">
        <f t="shared" si="13"/>
        <v>9372.5780246146896</v>
      </c>
      <c r="F280">
        <v>10</v>
      </c>
      <c r="G280">
        <v>1362955.7576520001</v>
      </c>
      <c r="H280">
        <v>26085.74</v>
      </c>
      <c r="I280">
        <f t="shared" si="14"/>
        <v>1336870.0176520001</v>
      </c>
    </row>
    <row r="281" spans="1:12" x14ac:dyDescent="0.3">
      <c r="A281" s="1" t="s">
        <v>26</v>
      </c>
      <c r="B281">
        <f t="shared" si="12"/>
        <v>59.987904999999998</v>
      </c>
      <c r="C281">
        <v>59987905</v>
      </c>
      <c r="D281">
        <v>1794677</v>
      </c>
      <c r="E281">
        <f t="shared" si="13"/>
        <v>29917.314165247146</v>
      </c>
      <c r="F281">
        <v>10</v>
      </c>
      <c r="G281">
        <v>5804854.3834199999</v>
      </c>
      <c r="H281">
        <v>66016.19</v>
      </c>
      <c r="I281">
        <f t="shared" si="14"/>
        <v>5738838.1934199994</v>
      </c>
    </row>
    <row r="282" spans="1:12" x14ac:dyDescent="0.3">
      <c r="A282" s="5" t="s">
        <v>0</v>
      </c>
      <c r="B282">
        <f t="shared" si="12"/>
        <v>8.2278289999999998</v>
      </c>
      <c r="C282">
        <v>8227829</v>
      </c>
      <c r="D282">
        <v>277307.35750585998</v>
      </c>
      <c r="E282">
        <f t="shared" si="13"/>
        <v>33703.587848733849</v>
      </c>
      <c r="F282">
        <v>11</v>
      </c>
      <c r="G282">
        <v>1073247.7870440001</v>
      </c>
      <c r="H282">
        <v>259451.4</v>
      </c>
      <c r="I282">
        <f t="shared" si="14"/>
        <v>813796.38704400009</v>
      </c>
      <c r="K282" s="4"/>
      <c r="L282" s="4"/>
    </row>
    <row r="283" spans="1:12" x14ac:dyDescent="0.3">
      <c r="A283" s="1" t="s">
        <v>1</v>
      </c>
      <c r="B283">
        <f t="shared" si="12"/>
        <v>10.478617</v>
      </c>
      <c r="C283">
        <v>10478617</v>
      </c>
      <c r="D283">
        <v>337373.69701571</v>
      </c>
      <c r="E283">
        <f t="shared" si="13"/>
        <v>32196.395480024701</v>
      </c>
      <c r="F283">
        <v>11</v>
      </c>
      <c r="G283">
        <v>1428974.5179600001</v>
      </c>
      <c r="H283">
        <v>35251.879999999997</v>
      </c>
      <c r="I283">
        <f t="shared" si="14"/>
        <v>1393722.6379600002</v>
      </c>
    </row>
    <row r="284" spans="1:12" x14ac:dyDescent="0.3">
      <c r="A284" s="1" t="s">
        <v>2</v>
      </c>
      <c r="B284">
        <f t="shared" si="12"/>
        <v>7.6589720000000003</v>
      </c>
      <c r="C284">
        <v>7658972</v>
      </c>
      <c r="D284">
        <v>63105.879101514998</v>
      </c>
      <c r="E284">
        <f t="shared" si="13"/>
        <v>8239.4711851035609</v>
      </c>
      <c r="F284">
        <v>11</v>
      </c>
      <c r="G284">
        <v>398750.70639599999</v>
      </c>
      <c r="H284">
        <v>39441.75</v>
      </c>
      <c r="I284">
        <f t="shared" si="14"/>
        <v>359308.95639599999</v>
      </c>
    </row>
    <row r="285" spans="1:12" x14ac:dyDescent="0.3">
      <c r="A285" s="1" t="s">
        <v>3</v>
      </c>
      <c r="B285">
        <f t="shared" si="12"/>
        <v>0.73853999999999997</v>
      </c>
      <c r="C285">
        <v>738540</v>
      </c>
      <c r="D285">
        <v>17023.508000000002</v>
      </c>
      <c r="E285">
        <f t="shared" si="13"/>
        <v>23050.217997671083</v>
      </c>
      <c r="F285">
        <v>11</v>
      </c>
      <c r="G285">
        <v>63476.451611999997</v>
      </c>
      <c r="H285">
        <v>2135.8879999999999</v>
      </c>
      <c r="I285">
        <f t="shared" si="14"/>
        <v>61340.563611999998</v>
      </c>
    </row>
    <row r="286" spans="1:12" x14ac:dyDescent="0.3">
      <c r="A286" s="1" t="s">
        <v>4</v>
      </c>
      <c r="B286">
        <f t="shared" si="12"/>
        <v>10.211216</v>
      </c>
      <c r="C286">
        <v>10211216</v>
      </c>
      <c r="D286">
        <v>3532305.4237234001</v>
      </c>
      <c r="E286">
        <f t="shared" si="13"/>
        <v>345924.07248298341</v>
      </c>
      <c r="F286">
        <v>11</v>
      </c>
      <c r="G286">
        <v>1052239.1364</v>
      </c>
      <c r="H286">
        <v>79053.119999999995</v>
      </c>
      <c r="I286">
        <f t="shared" si="14"/>
        <v>973186.01639999996</v>
      </c>
    </row>
    <row r="287" spans="1:12" ht="24" x14ac:dyDescent="0.3">
      <c r="A287" s="2" t="s">
        <v>5</v>
      </c>
      <c r="B287">
        <f t="shared" si="12"/>
        <v>82.469421999999994</v>
      </c>
      <c r="C287">
        <v>82469422</v>
      </c>
      <c r="D287">
        <v>2418293.044921</v>
      </c>
      <c r="E287">
        <f t="shared" si="13"/>
        <v>29323.51150613133</v>
      </c>
      <c r="F287">
        <v>11</v>
      </c>
      <c r="G287">
        <v>8626259.1448800005</v>
      </c>
      <c r="H287">
        <v>583527.69999999995</v>
      </c>
      <c r="I287">
        <f t="shared" si="14"/>
        <v>8042731.4448800003</v>
      </c>
    </row>
    <row r="288" spans="1:12" x14ac:dyDescent="0.3">
      <c r="A288" s="1" t="s">
        <v>6</v>
      </c>
      <c r="B288">
        <f t="shared" si="12"/>
        <v>5.4194319999999996</v>
      </c>
      <c r="C288">
        <v>5419432</v>
      </c>
      <c r="D288">
        <v>1791958.6669999999</v>
      </c>
      <c r="E288">
        <f t="shared" si="13"/>
        <v>330654.33185617975</v>
      </c>
      <c r="F288">
        <v>11</v>
      </c>
      <c r="G288">
        <v>612556.26353999996</v>
      </c>
      <c r="H288">
        <v>98783.26</v>
      </c>
      <c r="I288">
        <f t="shared" si="14"/>
        <v>513773.00353999995</v>
      </c>
    </row>
    <row r="289" spans="1:9" x14ac:dyDescent="0.3">
      <c r="A289" s="1" t="s">
        <v>7</v>
      </c>
      <c r="B289">
        <f t="shared" si="12"/>
        <v>1.3547750000000001</v>
      </c>
      <c r="C289">
        <v>1354775</v>
      </c>
      <c r="D289">
        <v>15045.902240242001</v>
      </c>
      <c r="E289">
        <f t="shared" si="13"/>
        <v>11105.831034852283</v>
      </c>
      <c r="F289">
        <v>11</v>
      </c>
      <c r="G289">
        <v>118013.83401599999</v>
      </c>
      <c r="H289">
        <v>22258.87</v>
      </c>
      <c r="I289">
        <f t="shared" si="14"/>
        <v>95754.964015999998</v>
      </c>
    </row>
    <row r="290" spans="1:9" x14ac:dyDescent="0.3">
      <c r="A290" s="1" t="s">
        <v>8</v>
      </c>
      <c r="B290">
        <f t="shared" si="12"/>
        <v>10.987314</v>
      </c>
      <c r="C290">
        <v>10987314</v>
      </c>
      <c r="D290">
        <v>227844.44067099999</v>
      </c>
      <c r="E290">
        <f t="shared" si="13"/>
        <v>20737.046440194572</v>
      </c>
      <c r="F290">
        <v>11</v>
      </c>
      <c r="G290">
        <v>838647.60847199999</v>
      </c>
      <c r="H290">
        <v>64774.98</v>
      </c>
      <c r="I290">
        <f t="shared" si="14"/>
        <v>773872.62847200001</v>
      </c>
    </row>
    <row r="291" spans="1:9" x14ac:dyDescent="0.3">
      <c r="A291" s="1" t="s">
        <v>31</v>
      </c>
      <c r="B291">
        <f t="shared" si="12"/>
        <v>43.653154999999998</v>
      </c>
      <c r="C291">
        <v>43653155</v>
      </c>
      <c r="D291">
        <v>1022718.6602959001</v>
      </c>
      <c r="E291">
        <f t="shared" si="13"/>
        <v>23428.287377989061</v>
      </c>
      <c r="F291">
        <v>11</v>
      </c>
      <c r="G291">
        <v>3923414.2735199998</v>
      </c>
      <c r="H291">
        <v>286009.7</v>
      </c>
      <c r="I291">
        <f t="shared" si="14"/>
        <v>3637404.5735199996</v>
      </c>
    </row>
    <row r="292" spans="1:9" x14ac:dyDescent="0.3">
      <c r="A292" s="1" t="s">
        <v>9</v>
      </c>
      <c r="B292">
        <f t="shared" si="12"/>
        <v>5.2460959999999996</v>
      </c>
      <c r="C292">
        <v>5246096</v>
      </c>
      <c r="D292">
        <v>179666.13420234001</v>
      </c>
      <c r="E292">
        <f t="shared" si="13"/>
        <v>34247.587959187178</v>
      </c>
      <c r="F292">
        <v>11</v>
      </c>
      <c r="G292">
        <v>1010891.262564</v>
      </c>
      <c r="H292">
        <v>318565.7</v>
      </c>
      <c r="I292">
        <f t="shared" si="14"/>
        <v>692325.56256400002</v>
      </c>
    </row>
    <row r="293" spans="1:9" x14ac:dyDescent="0.3">
      <c r="A293" s="1" t="s">
        <v>10</v>
      </c>
      <c r="B293">
        <f t="shared" si="12"/>
        <v>63.001252999999998</v>
      </c>
      <c r="C293">
        <v>63001253</v>
      </c>
      <c r="D293">
        <v>1915413.9480381999</v>
      </c>
      <c r="E293">
        <f t="shared" si="13"/>
        <v>30402.791322867815</v>
      </c>
      <c r="F293">
        <v>11</v>
      </c>
      <c r="G293">
        <v>6383781.6413399996</v>
      </c>
      <c r="H293">
        <v>548808.1</v>
      </c>
      <c r="I293">
        <f t="shared" si="14"/>
        <v>5834973.54134</v>
      </c>
    </row>
    <row r="294" spans="1:9" x14ac:dyDescent="0.3">
      <c r="A294" s="1" t="s">
        <v>11</v>
      </c>
      <c r="B294">
        <f t="shared" si="12"/>
        <v>4.311674</v>
      </c>
      <c r="C294">
        <v>4311674</v>
      </c>
      <c r="D294">
        <v>323453.99363098998</v>
      </c>
      <c r="E294">
        <f t="shared" si="13"/>
        <v>75018.193312154399</v>
      </c>
      <c r="F294">
        <v>11</v>
      </c>
      <c r="G294">
        <v>298839.88382400002</v>
      </c>
      <c r="H294">
        <v>80199.33</v>
      </c>
      <c r="I294">
        <f t="shared" si="14"/>
        <v>218640.553824</v>
      </c>
    </row>
    <row r="295" spans="1:9" x14ac:dyDescent="0.3">
      <c r="A295" s="1" t="s">
        <v>12</v>
      </c>
      <c r="B295">
        <f t="shared" si="12"/>
        <v>10.087065000000001</v>
      </c>
      <c r="C295">
        <v>10087065</v>
      </c>
      <c r="D295">
        <v>27661027.980085</v>
      </c>
      <c r="E295">
        <f t="shared" si="13"/>
        <v>2742227.5934659881</v>
      </c>
      <c r="F295">
        <v>11</v>
      </c>
      <c r="G295">
        <v>740094.10459200002</v>
      </c>
      <c r="H295">
        <v>34523.68</v>
      </c>
      <c r="I295">
        <f t="shared" si="14"/>
        <v>705570.42459199997</v>
      </c>
    </row>
    <row r="296" spans="1:9" x14ac:dyDescent="0.3">
      <c r="A296" s="1" t="s">
        <v>13</v>
      </c>
      <c r="B296">
        <f t="shared" si="12"/>
        <v>4.1599139999999997</v>
      </c>
      <c r="C296">
        <v>4159914</v>
      </c>
      <c r="D296">
        <v>164140.44484110002</v>
      </c>
      <c r="E296">
        <f t="shared" si="13"/>
        <v>39457.653413291722</v>
      </c>
      <c r="F296">
        <v>11</v>
      </c>
      <c r="G296">
        <v>488027.22444000002</v>
      </c>
      <c r="H296">
        <v>14103.53</v>
      </c>
      <c r="I296">
        <f t="shared" si="14"/>
        <v>473923.69443999999</v>
      </c>
    </row>
    <row r="297" spans="1:9" x14ac:dyDescent="0.3">
      <c r="A297" s="1" t="s">
        <v>14</v>
      </c>
      <c r="B297">
        <f t="shared" si="12"/>
        <v>57.969484000000001</v>
      </c>
      <c r="C297">
        <v>57969484</v>
      </c>
      <c r="D297">
        <v>1634689.8255858999</v>
      </c>
      <c r="E297">
        <f t="shared" si="13"/>
        <v>28199.143976956908</v>
      </c>
      <c r="F297">
        <v>11</v>
      </c>
      <c r="G297">
        <v>5554547.9270639997</v>
      </c>
      <c r="H297">
        <v>372301.3</v>
      </c>
      <c r="I297">
        <f t="shared" si="14"/>
        <v>5182246.6270639999</v>
      </c>
    </row>
    <row r="298" spans="1:9" x14ac:dyDescent="0.3">
      <c r="A298" s="1" t="s">
        <v>15</v>
      </c>
      <c r="B298">
        <f t="shared" si="12"/>
        <v>3.3225280000000001</v>
      </c>
      <c r="C298">
        <v>3322528</v>
      </c>
      <c r="D298">
        <v>26443.198217896999</v>
      </c>
      <c r="E298">
        <f t="shared" si="13"/>
        <v>7958.7585771728627</v>
      </c>
      <c r="F298">
        <v>11</v>
      </c>
      <c r="G298">
        <v>193263.650964</v>
      </c>
      <c r="H298">
        <v>33839.71</v>
      </c>
      <c r="I298">
        <f t="shared" si="14"/>
        <v>159423.94096400001</v>
      </c>
    </row>
    <row r="299" spans="1:9" x14ac:dyDescent="0.3">
      <c r="A299" s="1" t="s">
        <v>16</v>
      </c>
      <c r="B299">
        <f t="shared" si="12"/>
        <v>0.46515800000000002</v>
      </c>
      <c r="C299">
        <v>465158</v>
      </c>
      <c r="D299">
        <v>36963.436521821997</v>
      </c>
      <c r="E299">
        <f t="shared" si="13"/>
        <v>79464.260577743466</v>
      </c>
      <c r="F299">
        <v>11</v>
      </c>
      <c r="G299">
        <v>169985.54538</v>
      </c>
      <c r="H299">
        <v>3214.55</v>
      </c>
      <c r="I299">
        <f t="shared" si="14"/>
        <v>166770.99538000001</v>
      </c>
    </row>
    <row r="300" spans="1:9" x14ac:dyDescent="0.3">
      <c r="A300" s="1" t="s">
        <v>17</v>
      </c>
      <c r="B300">
        <f t="shared" si="12"/>
        <v>2.2387990000000002</v>
      </c>
      <c r="C300">
        <v>2238799</v>
      </c>
      <c r="D300">
        <v>18538.636587973</v>
      </c>
      <c r="E300">
        <f t="shared" si="13"/>
        <v>8280.6167896148781</v>
      </c>
      <c r="F300">
        <v>11</v>
      </c>
      <c r="G300">
        <v>166149.38988</v>
      </c>
      <c r="H300">
        <v>60313.06</v>
      </c>
      <c r="I300">
        <f t="shared" si="14"/>
        <v>105836.32988</v>
      </c>
    </row>
    <row r="301" spans="1:9" x14ac:dyDescent="0.3">
      <c r="A301" s="1" t="s">
        <v>18</v>
      </c>
      <c r="B301">
        <f t="shared" si="12"/>
        <v>0.40383400000000003</v>
      </c>
      <c r="C301">
        <v>403834</v>
      </c>
      <c r="D301">
        <v>5857.4227571222</v>
      </c>
      <c r="E301">
        <f t="shared" si="13"/>
        <v>14504.530963520157</v>
      </c>
      <c r="F301">
        <v>11</v>
      </c>
      <c r="G301">
        <v>12129.159600000001</v>
      </c>
      <c r="H301">
        <v>21.980699999999999</v>
      </c>
      <c r="I301">
        <f t="shared" si="14"/>
        <v>12107.178900000001</v>
      </c>
    </row>
    <row r="302" spans="1:9" x14ac:dyDescent="0.3">
      <c r="A302" s="1" t="s">
        <v>19</v>
      </c>
      <c r="B302">
        <f t="shared" si="12"/>
        <v>16.319868</v>
      </c>
      <c r="C302">
        <v>16319868</v>
      </c>
      <c r="D302">
        <v>596862.88414096995</v>
      </c>
      <c r="E302">
        <f t="shared" si="13"/>
        <v>36572.776455114094</v>
      </c>
      <c r="F302">
        <v>11</v>
      </c>
      <c r="G302">
        <v>2065905.954288</v>
      </c>
      <c r="H302">
        <v>57259.28</v>
      </c>
      <c r="I302">
        <f t="shared" si="14"/>
        <v>2008646.674288</v>
      </c>
    </row>
    <row r="303" spans="1:9" x14ac:dyDescent="0.3">
      <c r="A303" s="1" t="s">
        <v>20</v>
      </c>
      <c r="B303">
        <f t="shared" si="12"/>
        <v>38.165444999999998</v>
      </c>
      <c r="C303">
        <v>38165445</v>
      </c>
      <c r="D303">
        <v>1145513.8322731999</v>
      </c>
      <c r="E303">
        <f t="shared" si="13"/>
        <v>30014.423578008849</v>
      </c>
      <c r="F303">
        <v>11</v>
      </c>
      <c r="G303">
        <v>2398501.7456399999</v>
      </c>
      <c r="H303">
        <v>173045.1</v>
      </c>
      <c r="I303">
        <f t="shared" si="14"/>
        <v>2225456.6456399998</v>
      </c>
    </row>
    <row r="304" spans="1:9" x14ac:dyDescent="0.3">
      <c r="A304" s="1" t="s">
        <v>21</v>
      </c>
      <c r="B304">
        <f t="shared" si="12"/>
        <v>10.50333</v>
      </c>
      <c r="C304">
        <v>10503330</v>
      </c>
      <c r="D304">
        <v>174377.03029669001</v>
      </c>
      <c r="E304">
        <f t="shared" si="13"/>
        <v>16602.070990503966</v>
      </c>
      <c r="F304">
        <v>11</v>
      </c>
      <c r="G304">
        <v>750720.95661600004</v>
      </c>
      <c r="H304">
        <v>135676.29999999999</v>
      </c>
      <c r="I304">
        <f t="shared" si="14"/>
        <v>615044.65661599999</v>
      </c>
    </row>
    <row r="305" spans="1:12" x14ac:dyDescent="0.3">
      <c r="A305" s="1" t="s">
        <v>22</v>
      </c>
      <c r="B305">
        <f t="shared" si="12"/>
        <v>21.319685</v>
      </c>
      <c r="C305">
        <v>21319685</v>
      </c>
      <c r="D305">
        <v>459691.08394799998</v>
      </c>
      <c r="E305">
        <f t="shared" si="13"/>
        <v>21561.814067515537</v>
      </c>
      <c r="F305">
        <v>11</v>
      </c>
      <c r="G305">
        <v>980108.23424400005</v>
      </c>
      <c r="H305">
        <v>181419.7</v>
      </c>
      <c r="I305">
        <f t="shared" si="14"/>
        <v>798688.53424399998</v>
      </c>
    </row>
    <row r="306" spans="1:12" x14ac:dyDescent="0.3">
      <c r="A306" s="1" t="s">
        <v>23</v>
      </c>
      <c r="B306">
        <f t="shared" si="12"/>
        <v>9.0295719999999999</v>
      </c>
      <c r="C306">
        <v>9029572</v>
      </c>
      <c r="D306">
        <v>3271496.0258180001</v>
      </c>
      <c r="E306">
        <f t="shared" si="13"/>
        <v>362309.09126346192</v>
      </c>
      <c r="F306">
        <v>11</v>
      </c>
      <c r="G306">
        <v>203005.58094000001</v>
      </c>
      <c r="H306">
        <v>539937</v>
      </c>
      <c r="I306">
        <f t="shared" si="14"/>
        <v>-336931.41905999999</v>
      </c>
    </row>
    <row r="307" spans="1:12" x14ac:dyDescent="0.3">
      <c r="A307" s="1" t="s">
        <v>24</v>
      </c>
      <c r="B307">
        <f t="shared" si="12"/>
        <v>2.0004740000000001</v>
      </c>
      <c r="C307">
        <v>2000474</v>
      </c>
      <c r="D307">
        <v>33144.302114999999</v>
      </c>
      <c r="E307">
        <f t="shared" si="13"/>
        <v>16568.224388319966</v>
      </c>
      <c r="F307">
        <v>11</v>
      </c>
      <c r="G307">
        <v>436876.25147999998</v>
      </c>
      <c r="H307">
        <v>29570.31</v>
      </c>
      <c r="I307">
        <f t="shared" si="14"/>
        <v>407305.94147999998</v>
      </c>
    </row>
    <row r="308" spans="1:12" x14ac:dyDescent="0.3">
      <c r="A308" s="1" t="s">
        <v>25</v>
      </c>
      <c r="B308">
        <f t="shared" si="12"/>
        <v>5.3728069999999999</v>
      </c>
      <c r="C308">
        <v>5372807</v>
      </c>
      <c r="D308">
        <v>53687.16677702</v>
      </c>
      <c r="E308">
        <f t="shared" si="13"/>
        <v>9992.3869919429453</v>
      </c>
      <c r="F308">
        <v>11</v>
      </c>
      <c r="G308">
        <v>1350116.0562239999</v>
      </c>
      <c r="H308">
        <v>27551.45</v>
      </c>
      <c r="I308">
        <f t="shared" si="14"/>
        <v>1322564.606224</v>
      </c>
    </row>
    <row r="309" spans="1:12" x14ac:dyDescent="0.3">
      <c r="A309" s="1" t="s">
        <v>26</v>
      </c>
      <c r="B309">
        <f t="shared" si="12"/>
        <v>60.401206000000002</v>
      </c>
      <c r="C309">
        <v>60401206</v>
      </c>
      <c r="D309">
        <v>1841218</v>
      </c>
      <c r="E309">
        <f t="shared" si="13"/>
        <v>30483.133068568201</v>
      </c>
      <c r="F309">
        <v>11</v>
      </c>
      <c r="G309">
        <v>5755949.5867919996</v>
      </c>
      <c r="H309">
        <v>77836.539999999994</v>
      </c>
      <c r="I309">
        <f t="shared" si="14"/>
        <v>5678113.0467919996</v>
      </c>
    </row>
    <row r="310" spans="1:12" x14ac:dyDescent="0.3">
      <c r="A310" s="5" t="s">
        <v>0</v>
      </c>
      <c r="B310">
        <f t="shared" si="12"/>
        <v>8.2686410000000006</v>
      </c>
      <c r="C310">
        <v>8268641</v>
      </c>
      <c r="D310">
        <v>286885.66964881</v>
      </c>
      <c r="E310">
        <f t="shared" si="13"/>
        <v>34695.625272497615</v>
      </c>
      <c r="F310">
        <v>12</v>
      </c>
      <c r="G310">
        <v>1068752.1686760001</v>
      </c>
      <c r="H310">
        <v>280593</v>
      </c>
      <c r="I310">
        <f t="shared" si="14"/>
        <v>788159.16867600009</v>
      </c>
      <c r="K310" s="4"/>
      <c r="L310" s="4"/>
    </row>
    <row r="311" spans="1:12" x14ac:dyDescent="0.3">
      <c r="A311" s="1" t="s">
        <v>1</v>
      </c>
      <c r="B311">
        <f t="shared" si="12"/>
        <v>10.547958</v>
      </c>
      <c r="C311">
        <v>10547958</v>
      </c>
      <c r="D311">
        <v>345984.65438142</v>
      </c>
      <c r="E311">
        <f t="shared" si="13"/>
        <v>32801.102770926846</v>
      </c>
      <c r="F311">
        <v>12</v>
      </c>
      <c r="G311">
        <v>1431371.5446959999</v>
      </c>
      <c r="H311">
        <v>40459.49</v>
      </c>
      <c r="I311">
        <f t="shared" si="14"/>
        <v>1390912.0546959999</v>
      </c>
    </row>
    <row r="312" spans="1:12" x14ac:dyDescent="0.3">
      <c r="A312" s="1" t="s">
        <v>2</v>
      </c>
      <c r="B312">
        <f t="shared" si="12"/>
        <v>7.6010220000000004</v>
      </c>
      <c r="C312">
        <v>7601022</v>
      </c>
      <c r="D312">
        <v>67398.712932441995</v>
      </c>
      <c r="E312">
        <f t="shared" si="13"/>
        <v>8867.0593155028346</v>
      </c>
      <c r="F312">
        <v>12</v>
      </c>
      <c r="G312">
        <v>415432.75978800002</v>
      </c>
      <c r="H312">
        <v>41558.910000000003</v>
      </c>
      <c r="I312">
        <f t="shared" si="14"/>
        <v>373873.84978799999</v>
      </c>
    </row>
    <row r="313" spans="1:12" x14ac:dyDescent="0.3">
      <c r="A313" s="1" t="s">
        <v>3</v>
      </c>
      <c r="B313">
        <f t="shared" si="12"/>
        <v>0.75096499999999999</v>
      </c>
      <c r="C313">
        <v>750965</v>
      </c>
      <c r="D313">
        <v>17825.967000000001</v>
      </c>
      <c r="E313">
        <f t="shared" si="13"/>
        <v>23737.413860832396</v>
      </c>
      <c r="F313">
        <v>12</v>
      </c>
      <c r="G313">
        <v>64390.681259999998</v>
      </c>
      <c r="H313">
        <v>2262.8420000000001</v>
      </c>
      <c r="I313">
        <f t="shared" si="14"/>
        <v>62127.839260000001</v>
      </c>
    </row>
    <row r="314" spans="1:12" x14ac:dyDescent="0.3">
      <c r="A314" s="1" t="s">
        <v>4</v>
      </c>
      <c r="B314">
        <f t="shared" si="12"/>
        <v>10.238905000000001</v>
      </c>
      <c r="C314">
        <v>10238905</v>
      </c>
      <c r="D314">
        <v>3771334.1538430001</v>
      </c>
      <c r="E314">
        <f t="shared" si="13"/>
        <v>368333.7382115568</v>
      </c>
      <c r="F314">
        <v>12</v>
      </c>
      <c r="G314">
        <v>1058592.0611159999</v>
      </c>
      <c r="H314">
        <v>83187.210000000006</v>
      </c>
      <c r="I314">
        <f t="shared" si="14"/>
        <v>975404.85111599998</v>
      </c>
    </row>
    <row r="315" spans="1:12" ht="24" x14ac:dyDescent="0.3">
      <c r="A315" s="2" t="s">
        <v>5</v>
      </c>
      <c r="B315">
        <f t="shared" si="12"/>
        <v>82.376451000000003</v>
      </c>
      <c r="C315">
        <v>82376451</v>
      </c>
      <c r="D315">
        <v>2510585.7942662998</v>
      </c>
      <c r="E315">
        <f t="shared" si="13"/>
        <v>30476.984184063716</v>
      </c>
      <c r="F315">
        <v>12</v>
      </c>
      <c r="G315">
        <v>8820320.9673960004</v>
      </c>
      <c r="H315">
        <v>683859.3</v>
      </c>
      <c r="I315">
        <f t="shared" si="14"/>
        <v>8136461.6673960006</v>
      </c>
    </row>
    <row r="316" spans="1:12" x14ac:dyDescent="0.3">
      <c r="A316" s="1" t="s">
        <v>6</v>
      </c>
      <c r="B316">
        <f t="shared" si="12"/>
        <v>5.4372720000000001</v>
      </c>
      <c r="C316">
        <v>5437272</v>
      </c>
      <c r="D316">
        <v>1862078.152</v>
      </c>
      <c r="E316">
        <f t="shared" si="13"/>
        <v>342465.51432409487</v>
      </c>
      <c r="F316">
        <v>12</v>
      </c>
      <c r="G316">
        <v>619249.91003999999</v>
      </c>
      <c r="H316">
        <v>94541.65</v>
      </c>
      <c r="I316">
        <f t="shared" si="14"/>
        <v>524708.26003999996</v>
      </c>
    </row>
    <row r="317" spans="1:12" x14ac:dyDescent="0.3">
      <c r="A317" s="1" t="s">
        <v>7</v>
      </c>
      <c r="B317">
        <f t="shared" si="12"/>
        <v>1.3468100000000001</v>
      </c>
      <c r="C317">
        <v>1346810</v>
      </c>
      <c r="D317">
        <v>16515.222283061001</v>
      </c>
      <c r="E317">
        <f t="shared" si="13"/>
        <v>12262.473758778893</v>
      </c>
      <c r="F317">
        <v>12</v>
      </c>
      <c r="G317">
        <v>118714.53686399999</v>
      </c>
      <c r="H317">
        <v>20375.07</v>
      </c>
      <c r="I317">
        <f t="shared" si="14"/>
        <v>98339.466863999987</v>
      </c>
    </row>
    <row r="318" spans="1:12" x14ac:dyDescent="0.3">
      <c r="A318" s="1" t="s">
        <v>8</v>
      </c>
      <c r="B318">
        <f t="shared" si="12"/>
        <v>11.020362</v>
      </c>
      <c r="C318">
        <v>11020362</v>
      </c>
      <c r="D318">
        <v>240723.19659733999</v>
      </c>
      <c r="E318">
        <f t="shared" si="13"/>
        <v>21843.492672685341</v>
      </c>
      <c r="F318">
        <v>12</v>
      </c>
      <c r="G318">
        <v>857152.84579199995</v>
      </c>
      <c r="H318">
        <v>70386.649999999994</v>
      </c>
      <c r="I318">
        <f t="shared" si="14"/>
        <v>786766.19579199993</v>
      </c>
    </row>
    <row r="319" spans="1:12" x14ac:dyDescent="0.3">
      <c r="A319" s="1" t="s">
        <v>31</v>
      </c>
      <c r="B319">
        <f t="shared" si="12"/>
        <v>44.397319000000003</v>
      </c>
      <c r="C319">
        <v>44397319</v>
      </c>
      <c r="D319">
        <v>1064678.0160864</v>
      </c>
      <c r="E319">
        <f t="shared" si="13"/>
        <v>23980.68261929059</v>
      </c>
      <c r="F319">
        <v>12</v>
      </c>
      <c r="G319">
        <v>3824542.907784</v>
      </c>
      <c r="H319">
        <v>324023.2</v>
      </c>
      <c r="I319">
        <f t="shared" si="14"/>
        <v>3500519.7077839999</v>
      </c>
    </row>
    <row r="320" spans="1:12" x14ac:dyDescent="0.3">
      <c r="A320" s="1" t="s">
        <v>9</v>
      </c>
      <c r="B320">
        <f t="shared" si="12"/>
        <v>5.2662680000000002</v>
      </c>
      <c r="C320">
        <v>5266268</v>
      </c>
      <c r="D320">
        <v>186902.02544341001</v>
      </c>
      <c r="E320">
        <f t="shared" si="13"/>
        <v>35490.41283949279</v>
      </c>
      <c r="F320">
        <v>12</v>
      </c>
      <c r="G320">
        <v>1062445.6337039999</v>
      </c>
      <c r="H320">
        <v>331943</v>
      </c>
      <c r="I320">
        <f t="shared" si="14"/>
        <v>730502.63370399992</v>
      </c>
    </row>
    <row r="321" spans="1:9" x14ac:dyDescent="0.3">
      <c r="A321" s="1" t="s">
        <v>10</v>
      </c>
      <c r="B321">
        <f t="shared" si="12"/>
        <v>63.437350000000002</v>
      </c>
      <c r="C321">
        <v>63437350</v>
      </c>
      <c r="D321">
        <v>1962328.6339077</v>
      </c>
      <c r="E321">
        <f t="shared" si="13"/>
        <v>30933.332396572365</v>
      </c>
      <c r="F321">
        <v>12</v>
      </c>
      <c r="G321">
        <v>6269009.7721680002</v>
      </c>
      <c r="H321">
        <v>530365.30000000005</v>
      </c>
      <c r="I321">
        <f t="shared" si="14"/>
        <v>5738644.4721680004</v>
      </c>
    </row>
    <row r="322" spans="1:9" x14ac:dyDescent="0.3">
      <c r="A322" s="1" t="s">
        <v>11</v>
      </c>
      <c r="B322">
        <f t="shared" si="12"/>
        <v>4.3130090000000001</v>
      </c>
      <c r="C322">
        <v>4313009</v>
      </c>
      <c r="D322">
        <v>339427.30507120001</v>
      </c>
      <c r="E322">
        <f t="shared" si="13"/>
        <v>78698.492182882066</v>
      </c>
      <c r="F322">
        <v>12</v>
      </c>
      <c r="G322">
        <v>299570.73163200001</v>
      </c>
      <c r="H322">
        <v>76442.11</v>
      </c>
      <c r="I322">
        <f t="shared" si="14"/>
        <v>223128.62163200002</v>
      </c>
    </row>
    <row r="323" spans="1:9" x14ac:dyDescent="0.3">
      <c r="A323" s="1" t="s">
        <v>12</v>
      </c>
      <c r="B323">
        <f t="shared" ref="B323:B386" si="15">C323/1000000</f>
        <v>10.07137</v>
      </c>
      <c r="C323">
        <v>10071370</v>
      </c>
      <c r="D323">
        <v>28753021.667642999</v>
      </c>
      <c r="E323">
        <f t="shared" ref="E323:E386" si="16">D323/B323</f>
        <v>2854926.5559345949</v>
      </c>
      <c r="F323">
        <v>12</v>
      </c>
      <c r="G323">
        <v>729308.57284799998</v>
      </c>
      <c r="H323">
        <v>39121.050000000003</v>
      </c>
      <c r="I323">
        <f t="shared" ref="I323:I386" si="17">G323-H323</f>
        <v>690187.52284799994</v>
      </c>
    </row>
    <row r="324" spans="1:9" x14ac:dyDescent="0.3">
      <c r="A324" s="1" t="s">
        <v>13</v>
      </c>
      <c r="B324">
        <f t="shared" si="15"/>
        <v>4.2741369999999996</v>
      </c>
      <c r="C324">
        <v>4274137</v>
      </c>
      <c r="D324">
        <v>172315.46260152999</v>
      </c>
      <c r="E324">
        <f t="shared" si="16"/>
        <v>40315.849164762381</v>
      </c>
      <c r="F324">
        <v>12</v>
      </c>
      <c r="G324">
        <v>513465.46761599998</v>
      </c>
      <c r="H324">
        <v>16449.650000000001</v>
      </c>
      <c r="I324">
        <f t="shared" si="17"/>
        <v>497015.81761599996</v>
      </c>
    </row>
    <row r="325" spans="1:9" x14ac:dyDescent="0.3">
      <c r="A325" s="1" t="s">
        <v>14</v>
      </c>
      <c r="B325">
        <f t="shared" si="15"/>
        <v>58.143979000000002</v>
      </c>
      <c r="C325">
        <v>58143979</v>
      </c>
      <c r="D325">
        <v>1663961.2302611</v>
      </c>
      <c r="E325">
        <f t="shared" si="16"/>
        <v>28617.945639067802</v>
      </c>
      <c r="F325">
        <v>12</v>
      </c>
      <c r="G325">
        <v>5477900.7237480003</v>
      </c>
      <c r="H325">
        <v>411530.8</v>
      </c>
      <c r="I325">
        <f t="shared" si="17"/>
        <v>5066369.9237480005</v>
      </c>
    </row>
    <row r="326" spans="1:9" x14ac:dyDescent="0.3">
      <c r="A326" s="1" t="s">
        <v>15</v>
      </c>
      <c r="B326">
        <f t="shared" si="15"/>
        <v>3.2699090000000002</v>
      </c>
      <c r="C326">
        <v>3269909</v>
      </c>
      <c r="D326">
        <v>28403.728332409002</v>
      </c>
      <c r="E326">
        <f t="shared" si="16"/>
        <v>8686.3971848785404</v>
      </c>
      <c r="F326">
        <v>12</v>
      </c>
      <c r="G326">
        <v>203895.52714799999</v>
      </c>
      <c r="H326">
        <v>35605.11</v>
      </c>
      <c r="I326">
        <f t="shared" si="17"/>
        <v>168290.41714799998</v>
      </c>
    </row>
    <row r="327" spans="1:9" x14ac:dyDescent="0.3">
      <c r="A327" s="1" t="s">
        <v>16</v>
      </c>
      <c r="B327">
        <f t="shared" si="15"/>
        <v>0.47263699999999997</v>
      </c>
      <c r="C327">
        <v>472637</v>
      </c>
      <c r="D327">
        <v>39187.421167820001</v>
      </c>
      <c r="E327">
        <f t="shared" si="16"/>
        <v>82912.300915544067</v>
      </c>
      <c r="F327">
        <v>12</v>
      </c>
      <c r="G327">
        <v>168283.31810400001</v>
      </c>
      <c r="H327">
        <v>3520.942</v>
      </c>
      <c r="I327">
        <f t="shared" si="17"/>
        <v>164762.376104</v>
      </c>
    </row>
    <row r="328" spans="1:9" x14ac:dyDescent="0.3">
      <c r="A328" s="1" t="s">
        <v>17</v>
      </c>
      <c r="B328">
        <f t="shared" si="15"/>
        <v>2.2183570000000001</v>
      </c>
      <c r="C328">
        <v>2218357</v>
      </c>
      <c r="D328">
        <v>20756.822266265001</v>
      </c>
      <c r="E328">
        <f t="shared" si="16"/>
        <v>9356.8448479054532</v>
      </c>
      <c r="F328">
        <v>12</v>
      </c>
      <c r="G328">
        <v>172941.59365200001</v>
      </c>
      <c r="H328">
        <v>58798.35</v>
      </c>
      <c r="I328">
        <f t="shared" si="17"/>
        <v>114143.243652</v>
      </c>
    </row>
    <row r="329" spans="1:9" x14ac:dyDescent="0.3">
      <c r="A329" s="1" t="s">
        <v>18</v>
      </c>
      <c r="B329">
        <f t="shared" si="15"/>
        <v>0.405308</v>
      </c>
      <c r="C329">
        <v>405308</v>
      </c>
      <c r="D329">
        <v>6004.4524302185</v>
      </c>
      <c r="E329">
        <f t="shared" si="16"/>
        <v>14814.542101854639</v>
      </c>
      <c r="F329">
        <v>12</v>
      </c>
      <c r="G329">
        <v>12667.79142</v>
      </c>
      <c r="H329">
        <v>27.004860000000001</v>
      </c>
      <c r="I329">
        <f t="shared" si="17"/>
        <v>12640.78656</v>
      </c>
    </row>
    <row r="330" spans="1:9" x14ac:dyDescent="0.3">
      <c r="A330" s="1" t="s">
        <v>19</v>
      </c>
      <c r="B330">
        <f t="shared" si="15"/>
        <v>16.346101000000001</v>
      </c>
      <c r="C330">
        <v>16346101</v>
      </c>
      <c r="D330">
        <v>617520.24287043</v>
      </c>
      <c r="E330">
        <f t="shared" si="16"/>
        <v>37777.831109108527</v>
      </c>
      <c r="F330">
        <v>12</v>
      </c>
      <c r="G330">
        <v>2056811.4291960001</v>
      </c>
      <c r="H330">
        <v>64827.37</v>
      </c>
      <c r="I330">
        <f t="shared" si="17"/>
        <v>1991984.059196</v>
      </c>
    </row>
    <row r="331" spans="1:9" x14ac:dyDescent="0.3">
      <c r="A331" s="1" t="s">
        <v>20</v>
      </c>
      <c r="B331">
        <f t="shared" si="15"/>
        <v>38.141266999999999</v>
      </c>
      <c r="C331">
        <v>38141267</v>
      </c>
      <c r="D331">
        <v>1215746.8669785</v>
      </c>
      <c r="E331">
        <f t="shared" si="16"/>
        <v>31874.842201191168</v>
      </c>
      <c r="F331">
        <v>12</v>
      </c>
      <c r="G331">
        <v>2499828.4183680001</v>
      </c>
      <c r="H331">
        <v>179586.8</v>
      </c>
      <c r="I331">
        <f t="shared" si="17"/>
        <v>2320241.6183680003</v>
      </c>
    </row>
    <row r="332" spans="1:9" x14ac:dyDescent="0.3">
      <c r="A332" s="1" t="s">
        <v>21</v>
      </c>
      <c r="B332">
        <f t="shared" si="15"/>
        <v>10.522288</v>
      </c>
      <c r="C332">
        <v>10522288</v>
      </c>
      <c r="D332">
        <v>177210.71607394001</v>
      </c>
      <c r="E332">
        <f t="shared" si="16"/>
        <v>16841.462244137398</v>
      </c>
      <c r="F332">
        <v>12</v>
      </c>
      <c r="G332">
        <v>739943.75660399999</v>
      </c>
      <c r="H332">
        <v>165242.4</v>
      </c>
      <c r="I332">
        <f t="shared" si="17"/>
        <v>574701.35660399997</v>
      </c>
    </row>
    <row r="333" spans="1:9" x14ac:dyDescent="0.3">
      <c r="A333" s="1" t="s">
        <v>22</v>
      </c>
      <c r="B333">
        <f t="shared" si="15"/>
        <v>21.193760000000001</v>
      </c>
      <c r="C333">
        <v>21193760</v>
      </c>
      <c r="D333">
        <v>496598.81261099997</v>
      </c>
      <c r="E333">
        <f t="shared" si="16"/>
        <v>23431.369073302707</v>
      </c>
      <c r="F333">
        <v>12</v>
      </c>
      <c r="G333">
        <v>993220.28701199999</v>
      </c>
      <c r="H333">
        <v>172924.7</v>
      </c>
      <c r="I333">
        <f t="shared" si="17"/>
        <v>820295.58701199992</v>
      </c>
    </row>
    <row r="334" spans="1:9" x14ac:dyDescent="0.3">
      <c r="A334" s="1" t="s">
        <v>23</v>
      </c>
      <c r="B334">
        <f t="shared" si="15"/>
        <v>9.0805050000000005</v>
      </c>
      <c r="C334">
        <v>9080505</v>
      </c>
      <c r="D334">
        <v>3424038.4772565002</v>
      </c>
      <c r="E334">
        <f t="shared" si="16"/>
        <v>377075.77687105507</v>
      </c>
      <c r="F334">
        <v>12</v>
      </c>
      <c r="G334">
        <v>206094.93692400001</v>
      </c>
      <c r="H334">
        <v>548249.69999999995</v>
      </c>
      <c r="I334">
        <f t="shared" si="17"/>
        <v>-342154.76307599992</v>
      </c>
    </row>
    <row r="335" spans="1:9" x14ac:dyDescent="0.3">
      <c r="A335" s="1" t="s">
        <v>24</v>
      </c>
      <c r="B335">
        <f t="shared" si="15"/>
        <v>2.0068679999999999</v>
      </c>
      <c r="C335">
        <v>2006868</v>
      </c>
      <c r="D335">
        <v>35048.905360999997</v>
      </c>
      <c r="E335">
        <f t="shared" si="16"/>
        <v>17464.479657356638</v>
      </c>
      <c r="F335">
        <v>12</v>
      </c>
      <c r="G335">
        <v>422866.96747199999</v>
      </c>
      <c r="H335">
        <v>29707.29</v>
      </c>
      <c r="I335">
        <f t="shared" si="17"/>
        <v>393159.67747200001</v>
      </c>
    </row>
    <row r="336" spans="1:9" x14ac:dyDescent="0.3">
      <c r="A336" s="1" t="s">
        <v>25</v>
      </c>
      <c r="B336">
        <f t="shared" si="15"/>
        <v>5.3730539999999998</v>
      </c>
      <c r="C336">
        <v>5373054</v>
      </c>
      <c r="D336">
        <v>58246.912512338</v>
      </c>
      <c r="E336">
        <f t="shared" si="16"/>
        <v>10840.559672830015</v>
      </c>
      <c r="F336">
        <v>12</v>
      </c>
      <c r="G336">
        <v>1333078.5016439999</v>
      </c>
      <c r="H336">
        <v>27772.28</v>
      </c>
      <c r="I336">
        <f t="shared" si="17"/>
        <v>1305306.2216439999</v>
      </c>
    </row>
    <row r="337" spans="1:12" x14ac:dyDescent="0.3">
      <c r="A337" s="1" t="s">
        <v>26</v>
      </c>
      <c r="B337">
        <f t="shared" si="15"/>
        <v>60.846820000000001</v>
      </c>
      <c r="C337">
        <v>60846820</v>
      </c>
      <c r="D337">
        <v>1888797</v>
      </c>
      <c r="E337">
        <f t="shared" si="16"/>
        <v>31041.83587572859</v>
      </c>
      <c r="F337">
        <v>12</v>
      </c>
      <c r="G337">
        <v>5660371.2229920002</v>
      </c>
      <c r="H337">
        <v>87957.64</v>
      </c>
      <c r="I337">
        <f t="shared" si="17"/>
        <v>5572413.5829920005</v>
      </c>
    </row>
    <row r="338" spans="1:12" x14ac:dyDescent="0.3">
      <c r="A338" s="5" t="s">
        <v>0</v>
      </c>
      <c r="B338">
        <f t="shared" si="15"/>
        <v>8.2954869999999996</v>
      </c>
      <c r="C338">
        <v>8295487</v>
      </c>
      <c r="D338">
        <v>297579.08999548998</v>
      </c>
      <c r="E338">
        <f t="shared" si="16"/>
        <v>35872.407490420999</v>
      </c>
      <c r="F338">
        <v>13</v>
      </c>
      <c r="G338">
        <v>1053752.3715240001</v>
      </c>
      <c r="H338">
        <v>301383</v>
      </c>
      <c r="I338">
        <f t="shared" si="17"/>
        <v>752369.37152400007</v>
      </c>
      <c r="K338" s="4"/>
      <c r="L338" s="4"/>
    </row>
    <row r="339" spans="1:12" x14ac:dyDescent="0.3">
      <c r="A339" s="1" t="s">
        <v>1</v>
      </c>
      <c r="B339">
        <f t="shared" si="15"/>
        <v>10.6257</v>
      </c>
      <c r="C339">
        <v>10625700</v>
      </c>
      <c r="D339">
        <v>358706.09887165995</v>
      </c>
      <c r="E339">
        <f t="shared" si="16"/>
        <v>33758.349931925419</v>
      </c>
      <c r="F339">
        <v>13</v>
      </c>
      <c r="G339">
        <v>1392944.6756160001</v>
      </c>
      <c r="H339">
        <v>46372.26</v>
      </c>
      <c r="I339">
        <f t="shared" si="17"/>
        <v>1346572.4156160001</v>
      </c>
    </row>
    <row r="340" spans="1:12" x14ac:dyDescent="0.3">
      <c r="A340" s="1" t="s">
        <v>2</v>
      </c>
      <c r="B340">
        <f t="shared" si="15"/>
        <v>7.5453380000000001</v>
      </c>
      <c r="C340">
        <v>7545338</v>
      </c>
      <c r="D340">
        <v>71841.218781256001</v>
      </c>
      <c r="E340">
        <f t="shared" si="16"/>
        <v>9521.2724441577029</v>
      </c>
      <c r="F340">
        <v>13</v>
      </c>
      <c r="G340">
        <v>410970.25900800002</v>
      </c>
      <c r="H340">
        <v>36455.06</v>
      </c>
      <c r="I340">
        <f t="shared" si="17"/>
        <v>374515.19900800003</v>
      </c>
    </row>
    <row r="341" spans="1:12" x14ac:dyDescent="0.3">
      <c r="A341" s="1" t="s">
        <v>3</v>
      </c>
      <c r="B341">
        <f t="shared" si="15"/>
        <v>0.76712499999999995</v>
      </c>
      <c r="C341">
        <v>767125</v>
      </c>
      <c r="D341">
        <v>18734.746999999999</v>
      </c>
      <c r="E341">
        <f t="shared" si="16"/>
        <v>24422.026397262507</v>
      </c>
      <c r="F341">
        <v>13</v>
      </c>
      <c r="G341">
        <v>67582.195164000004</v>
      </c>
      <c r="H341">
        <v>2943.415</v>
      </c>
      <c r="I341">
        <f t="shared" si="17"/>
        <v>64638.780164000003</v>
      </c>
    </row>
    <row r="342" spans="1:12" x14ac:dyDescent="0.3">
      <c r="A342" s="1" t="s">
        <v>4</v>
      </c>
      <c r="B342">
        <f t="shared" si="15"/>
        <v>10.298828</v>
      </c>
      <c r="C342">
        <v>10298828</v>
      </c>
      <c r="D342">
        <v>3981410.2457252</v>
      </c>
      <c r="E342">
        <f t="shared" si="16"/>
        <v>386588.67258732743</v>
      </c>
      <c r="F342">
        <v>13</v>
      </c>
      <c r="G342">
        <v>1035956.085048</v>
      </c>
      <c r="H342">
        <v>85907.49</v>
      </c>
      <c r="I342">
        <f t="shared" si="17"/>
        <v>950048.59504799999</v>
      </c>
    </row>
    <row r="343" spans="1:12" ht="24" x14ac:dyDescent="0.3">
      <c r="A343" s="2" t="s">
        <v>5</v>
      </c>
      <c r="B343">
        <f t="shared" si="15"/>
        <v>82.266372000000004</v>
      </c>
      <c r="C343">
        <v>82266372</v>
      </c>
      <c r="D343">
        <v>2585312.2539657997</v>
      </c>
      <c r="E343">
        <f t="shared" si="16"/>
        <v>31426.112409160327</v>
      </c>
      <c r="F343">
        <v>13</v>
      </c>
      <c r="G343">
        <v>8247962.0450520003</v>
      </c>
      <c r="H343">
        <v>775851.8</v>
      </c>
      <c r="I343">
        <f t="shared" si="17"/>
        <v>7472110.2450520005</v>
      </c>
    </row>
    <row r="344" spans="1:12" x14ac:dyDescent="0.3">
      <c r="A344" s="1" t="s">
        <v>6</v>
      </c>
      <c r="B344">
        <f t="shared" si="15"/>
        <v>5.4614380000000002</v>
      </c>
      <c r="C344">
        <v>5461438</v>
      </c>
      <c r="D344">
        <v>1879008.892</v>
      </c>
      <c r="E344">
        <f t="shared" si="16"/>
        <v>344050.21021935978</v>
      </c>
      <c r="F344">
        <v>13</v>
      </c>
      <c r="G344">
        <v>620661.23845199996</v>
      </c>
      <c r="H344">
        <v>109862.8</v>
      </c>
      <c r="I344">
        <f t="shared" si="17"/>
        <v>510798.43845199997</v>
      </c>
    </row>
    <row r="345" spans="1:12" x14ac:dyDescent="0.3">
      <c r="A345" s="1" t="s">
        <v>7</v>
      </c>
      <c r="B345">
        <f t="shared" si="15"/>
        <v>1.3406800000000001</v>
      </c>
      <c r="C345">
        <v>1340680</v>
      </c>
      <c r="D345">
        <v>17766.934361978001</v>
      </c>
      <c r="E345">
        <f t="shared" si="16"/>
        <v>13252.181252780678</v>
      </c>
      <c r="F345">
        <v>13</v>
      </c>
      <c r="G345">
        <v>127236.517056</v>
      </c>
      <c r="H345">
        <v>23621.78</v>
      </c>
      <c r="I345">
        <f t="shared" si="17"/>
        <v>103614.737056</v>
      </c>
    </row>
    <row r="346" spans="1:12" x14ac:dyDescent="0.3">
      <c r="A346" s="1" t="s">
        <v>8</v>
      </c>
      <c r="B346">
        <f t="shared" si="15"/>
        <v>11.048473</v>
      </c>
      <c r="C346">
        <v>11048473</v>
      </c>
      <c r="D346">
        <v>248603.86475938</v>
      </c>
      <c r="E346">
        <f t="shared" si="16"/>
        <v>22501.196749938204</v>
      </c>
      <c r="F346">
        <v>13</v>
      </c>
      <c r="G346">
        <v>877509.61167599994</v>
      </c>
      <c r="H346">
        <v>69486.73</v>
      </c>
      <c r="I346">
        <f t="shared" si="17"/>
        <v>808022.88167599996</v>
      </c>
    </row>
    <row r="347" spans="1:12" x14ac:dyDescent="0.3">
      <c r="A347" s="1" t="s">
        <v>31</v>
      </c>
      <c r="B347">
        <f t="shared" si="15"/>
        <v>45.226802999999997</v>
      </c>
      <c r="C347">
        <v>45226803</v>
      </c>
      <c r="D347">
        <v>1103056.3364649999</v>
      </c>
      <c r="E347">
        <f t="shared" si="16"/>
        <v>24389.438635868206</v>
      </c>
      <c r="F347">
        <v>13</v>
      </c>
      <c r="G347">
        <v>3925604.3467319999</v>
      </c>
      <c r="H347">
        <v>353515.9</v>
      </c>
      <c r="I347">
        <f t="shared" si="17"/>
        <v>3572088.446732</v>
      </c>
    </row>
    <row r="348" spans="1:12" x14ac:dyDescent="0.3">
      <c r="A348" s="1" t="s">
        <v>9</v>
      </c>
      <c r="B348">
        <f t="shared" si="15"/>
        <v>5.2887199999999996</v>
      </c>
      <c r="C348">
        <v>5288720</v>
      </c>
      <c r="D348">
        <v>196806.59271078001</v>
      </c>
      <c r="E348">
        <f t="shared" si="16"/>
        <v>37212.518853480622</v>
      </c>
      <c r="F348">
        <v>13</v>
      </c>
      <c r="G348">
        <v>1061690.460588</v>
      </c>
      <c r="H348">
        <v>337542.7</v>
      </c>
      <c r="I348">
        <f t="shared" si="17"/>
        <v>724147.76058800006</v>
      </c>
    </row>
    <row r="349" spans="1:12" x14ac:dyDescent="0.3">
      <c r="A349" s="1" t="s">
        <v>10</v>
      </c>
      <c r="B349">
        <f t="shared" si="15"/>
        <v>63.826129000000002</v>
      </c>
      <c r="C349">
        <v>63826129</v>
      </c>
      <c r="D349">
        <v>2009909.9274098</v>
      </c>
      <c r="E349">
        <f t="shared" si="16"/>
        <v>31490.39365069124</v>
      </c>
      <c r="F349">
        <v>13</v>
      </c>
      <c r="G349">
        <v>6131553.1507080002</v>
      </c>
      <c r="H349">
        <v>571542.19999999995</v>
      </c>
      <c r="I349">
        <f t="shared" si="17"/>
        <v>5560010.950708</v>
      </c>
    </row>
    <row r="350" spans="1:12" x14ac:dyDescent="0.3">
      <c r="A350" s="1" t="s">
        <v>11</v>
      </c>
      <c r="B350">
        <f t="shared" si="15"/>
        <v>4.3127490000000002</v>
      </c>
      <c r="C350">
        <v>4312749</v>
      </c>
      <c r="D350">
        <v>356102.72862034995</v>
      </c>
      <c r="E350">
        <f t="shared" si="16"/>
        <v>82569.77825984075</v>
      </c>
      <c r="F350">
        <v>13</v>
      </c>
      <c r="G350">
        <v>300558.27214800002</v>
      </c>
      <c r="H350">
        <v>68143.039999999994</v>
      </c>
      <c r="I350">
        <f t="shared" si="17"/>
        <v>232415.23214800004</v>
      </c>
    </row>
    <row r="351" spans="1:12" x14ac:dyDescent="0.3">
      <c r="A351" s="1" t="s">
        <v>12</v>
      </c>
      <c r="B351">
        <f t="shared" si="15"/>
        <v>10.05578</v>
      </c>
      <c r="C351">
        <v>10055780</v>
      </c>
      <c r="D351">
        <v>28832662.004785001</v>
      </c>
      <c r="E351">
        <f t="shared" si="16"/>
        <v>2867272.5541713322</v>
      </c>
      <c r="F351">
        <v>13</v>
      </c>
      <c r="G351">
        <v>688718.71915200003</v>
      </c>
      <c r="H351">
        <v>42289.62</v>
      </c>
      <c r="I351">
        <f t="shared" si="17"/>
        <v>646429.09915200004</v>
      </c>
    </row>
    <row r="352" spans="1:12" x14ac:dyDescent="0.3">
      <c r="A352" s="1" t="s">
        <v>13</v>
      </c>
      <c r="B352">
        <f t="shared" si="15"/>
        <v>4.3989419999999999</v>
      </c>
      <c r="C352">
        <v>4398942</v>
      </c>
      <c r="D352">
        <v>181457.60507945</v>
      </c>
      <c r="E352">
        <f t="shared" si="16"/>
        <v>41250.28360897916</v>
      </c>
      <c r="F352">
        <v>13</v>
      </c>
      <c r="G352">
        <v>509078.74791600002</v>
      </c>
      <c r="H352">
        <v>18104.71</v>
      </c>
      <c r="I352">
        <f t="shared" si="17"/>
        <v>490974.037916</v>
      </c>
    </row>
    <row r="353" spans="1:12" x14ac:dyDescent="0.3">
      <c r="A353" s="1" t="s">
        <v>14</v>
      </c>
      <c r="B353">
        <f t="shared" si="15"/>
        <v>58.438310000000001</v>
      </c>
      <c r="C353">
        <v>58438310</v>
      </c>
      <c r="D353">
        <v>1688705.5481201001</v>
      </c>
      <c r="E353">
        <f t="shared" si="16"/>
        <v>28897.234504558739</v>
      </c>
      <c r="F353">
        <v>13</v>
      </c>
      <c r="G353">
        <v>5431812.6386879999</v>
      </c>
      <c r="H353">
        <v>474291.20000000001</v>
      </c>
      <c r="I353">
        <f t="shared" si="17"/>
        <v>4957521.4386879997</v>
      </c>
    </row>
    <row r="354" spans="1:12" x14ac:dyDescent="0.3">
      <c r="A354" s="1" t="s">
        <v>15</v>
      </c>
      <c r="B354">
        <f t="shared" si="15"/>
        <v>3.2312940000000001</v>
      </c>
      <c r="C354">
        <v>3231294</v>
      </c>
      <c r="D354">
        <v>31558.667455570998</v>
      </c>
      <c r="E354">
        <f t="shared" si="16"/>
        <v>9766.572603907598</v>
      </c>
      <c r="F354">
        <v>13</v>
      </c>
      <c r="G354">
        <v>214496.71408800001</v>
      </c>
      <c r="H354">
        <v>36597.71</v>
      </c>
      <c r="I354">
        <f t="shared" si="17"/>
        <v>177899.00408800002</v>
      </c>
    </row>
    <row r="355" spans="1:12" x14ac:dyDescent="0.3">
      <c r="A355" s="1" t="s">
        <v>16</v>
      </c>
      <c r="B355">
        <f t="shared" si="15"/>
        <v>0.479993</v>
      </c>
      <c r="C355">
        <v>479993</v>
      </c>
      <c r="D355">
        <v>42361.080151802002</v>
      </c>
      <c r="E355">
        <f t="shared" si="16"/>
        <v>88253.53734700715</v>
      </c>
      <c r="F355">
        <v>13</v>
      </c>
      <c r="G355">
        <v>164181.217068</v>
      </c>
      <c r="H355">
        <v>5968.0119999999997</v>
      </c>
      <c r="I355">
        <f t="shared" si="17"/>
        <v>158213.20506800001</v>
      </c>
    </row>
    <row r="356" spans="1:12" x14ac:dyDescent="0.3">
      <c r="A356" s="1" t="s">
        <v>17</v>
      </c>
      <c r="B356">
        <f t="shared" si="15"/>
        <v>2.2003249999999999</v>
      </c>
      <c r="C356">
        <v>2200325</v>
      </c>
      <c r="D356">
        <v>22820.673544437999</v>
      </c>
      <c r="E356">
        <f t="shared" si="16"/>
        <v>10371.501275692455</v>
      </c>
      <c r="F356">
        <v>13</v>
      </c>
      <c r="G356">
        <v>179101.339416</v>
      </c>
      <c r="H356">
        <v>59238.46</v>
      </c>
      <c r="I356">
        <f t="shared" si="17"/>
        <v>119862.87941600001</v>
      </c>
    </row>
    <row r="357" spans="1:12" x14ac:dyDescent="0.3">
      <c r="A357" s="1" t="s">
        <v>18</v>
      </c>
      <c r="B357">
        <f t="shared" si="15"/>
        <v>0.40672399999999997</v>
      </c>
      <c r="C357">
        <v>406724</v>
      </c>
      <c r="D357">
        <v>6291.1473692069994</v>
      </c>
      <c r="E357">
        <f t="shared" si="16"/>
        <v>15467.853800628927</v>
      </c>
      <c r="F357">
        <v>13</v>
      </c>
      <c r="G357">
        <v>12436.805664</v>
      </c>
      <c r="H357">
        <v>32.991979999999998</v>
      </c>
      <c r="I357">
        <f t="shared" si="17"/>
        <v>12403.813683999999</v>
      </c>
    </row>
    <row r="358" spans="1:12" x14ac:dyDescent="0.3">
      <c r="A358" s="1" t="s">
        <v>19</v>
      </c>
      <c r="B358">
        <f t="shared" si="15"/>
        <v>16.381696000000002</v>
      </c>
      <c r="C358">
        <v>16381696</v>
      </c>
      <c r="D358">
        <v>640818.30912362004</v>
      </c>
      <c r="E358">
        <f t="shared" si="16"/>
        <v>39117.946586459664</v>
      </c>
      <c r="F358">
        <v>13</v>
      </c>
      <c r="G358">
        <v>2014111.930716</v>
      </c>
      <c r="H358">
        <v>74957.87</v>
      </c>
      <c r="I358">
        <f t="shared" si="17"/>
        <v>1939154.0607159999</v>
      </c>
    </row>
    <row r="359" spans="1:12" x14ac:dyDescent="0.3">
      <c r="A359" s="1" t="s">
        <v>20</v>
      </c>
      <c r="B359">
        <f t="shared" si="15"/>
        <v>38.120559999999998</v>
      </c>
      <c r="C359">
        <v>38120560</v>
      </c>
      <c r="D359">
        <v>1301597.3603383999</v>
      </c>
      <c r="E359">
        <f t="shared" si="16"/>
        <v>34144.235035854668</v>
      </c>
      <c r="F359">
        <v>13</v>
      </c>
      <c r="G359">
        <v>2506838.9637600002</v>
      </c>
      <c r="H359">
        <v>182391.7</v>
      </c>
      <c r="I359">
        <f t="shared" si="17"/>
        <v>2324447.26376</v>
      </c>
    </row>
    <row r="360" spans="1:12" x14ac:dyDescent="0.3">
      <c r="A360" s="1" t="s">
        <v>21</v>
      </c>
      <c r="B360">
        <f t="shared" si="15"/>
        <v>10.542964</v>
      </c>
      <c r="C360">
        <v>10542964</v>
      </c>
      <c r="D360">
        <v>181652.64435947</v>
      </c>
      <c r="E360">
        <f t="shared" si="16"/>
        <v>17229.750984587448</v>
      </c>
      <c r="F360">
        <v>13</v>
      </c>
      <c r="G360">
        <v>756338.218704</v>
      </c>
      <c r="H360">
        <v>175078.2</v>
      </c>
      <c r="I360">
        <f t="shared" si="17"/>
        <v>581260.01870399993</v>
      </c>
    </row>
    <row r="361" spans="1:12" x14ac:dyDescent="0.3">
      <c r="A361" s="1" t="s">
        <v>22</v>
      </c>
      <c r="B361">
        <f t="shared" si="15"/>
        <v>20.882981999999998</v>
      </c>
      <c r="C361">
        <v>20882982</v>
      </c>
      <c r="D361">
        <v>532521.83408099995</v>
      </c>
      <c r="E361">
        <f t="shared" si="16"/>
        <v>25500.277406789894</v>
      </c>
      <c r="F361">
        <v>13</v>
      </c>
      <c r="G361">
        <v>967666.94870399998</v>
      </c>
      <c r="H361">
        <v>175916.3</v>
      </c>
      <c r="I361">
        <f t="shared" si="17"/>
        <v>791750.64870400005</v>
      </c>
    </row>
    <row r="362" spans="1:12" x14ac:dyDescent="0.3">
      <c r="A362" s="1" t="s">
        <v>23</v>
      </c>
      <c r="B362">
        <f t="shared" si="15"/>
        <v>9.1480920000000001</v>
      </c>
      <c r="C362">
        <v>9148092</v>
      </c>
      <c r="D362">
        <v>3541798.7541848999</v>
      </c>
      <c r="E362">
        <f t="shared" si="16"/>
        <v>387162.5639734384</v>
      </c>
      <c r="F362">
        <v>13</v>
      </c>
      <c r="G362">
        <v>203566.19346000001</v>
      </c>
      <c r="H362">
        <v>574613</v>
      </c>
      <c r="I362">
        <f t="shared" si="17"/>
        <v>-371046.80654000002</v>
      </c>
    </row>
    <row r="363" spans="1:12" x14ac:dyDescent="0.3">
      <c r="A363" s="1" t="s">
        <v>24</v>
      </c>
      <c r="B363">
        <f t="shared" si="15"/>
        <v>2.018122</v>
      </c>
      <c r="C363">
        <v>2018122</v>
      </c>
      <c r="D363">
        <v>37495.375843000002</v>
      </c>
      <c r="E363">
        <f t="shared" si="16"/>
        <v>18579.340517074786</v>
      </c>
      <c r="F363">
        <v>13</v>
      </c>
      <c r="G363">
        <v>425869.86603600002</v>
      </c>
      <c r="H363">
        <v>28682.43</v>
      </c>
      <c r="I363">
        <f t="shared" si="17"/>
        <v>397187.43603600003</v>
      </c>
    </row>
    <row r="364" spans="1:12" x14ac:dyDescent="0.3">
      <c r="A364" s="1" t="s">
        <v>25</v>
      </c>
      <c r="B364">
        <f t="shared" si="15"/>
        <v>5.3746219999999996</v>
      </c>
      <c r="C364">
        <v>5374622</v>
      </c>
      <c r="D364">
        <v>64556.234939069996</v>
      </c>
      <c r="E364">
        <f t="shared" si="16"/>
        <v>12011.307016394827</v>
      </c>
      <c r="F364">
        <v>13</v>
      </c>
      <c r="G364">
        <v>1338654.900564</v>
      </c>
      <c r="H364">
        <v>35058.36</v>
      </c>
      <c r="I364">
        <f t="shared" si="17"/>
        <v>1303596.5405639999</v>
      </c>
    </row>
    <row r="365" spans="1:12" x14ac:dyDescent="0.3">
      <c r="A365" s="1" t="s">
        <v>26</v>
      </c>
      <c r="B365">
        <f t="shared" si="15"/>
        <v>61.322462999999999</v>
      </c>
      <c r="C365">
        <v>61322463</v>
      </c>
      <c r="D365">
        <v>1931663</v>
      </c>
      <c r="E365">
        <f t="shared" si="16"/>
        <v>31500.088311847489</v>
      </c>
      <c r="F365">
        <v>13</v>
      </c>
      <c r="G365">
        <v>5569807.1383440001</v>
      </c>
      <c r="H365">
        <v>102465</v>
      </c>
      <c r="I365">
        <f t="shared" si="17"/>
        <v>5467342.1383440001</v>
      </c>
    </row>
    <row r="366" spans="1:12" x14ac:dyDescent="0.3">
      <c r="A366" s="5" t="s">
        <v>0</v>
      </c>
      <c r="B366">
        <f t="shared" si="15"/>
        <v>8.3214959999999998</v>
      </c>
      <c r="C366">
        <v>8321496</v>
      </c>
      <c r="D366">
        <v>301925.00547984004</v>
      </c>
      <c r="E366">
        <f t="shared" si="16"/>
        <v>36282.539278975804</v>
      </c>
      <c r="F366">
        <v>14</v>
      </c>
      <c r="G366">
        <v>1062877.2090479999</v>
      </c>
      <c r="H366">
        <v>312020</v>
      </c>
      <c r="I366">
        <f t="shared" si="17"/>
        <v>750857.20904799993</v>
      </c>
      <c r="K366" s="4"/>
      <c r="L366" s="4"/>
    </row>
    <row r="367" spans="1:12" x14ac:dyDescent="0.3">
      <c r="A367" s="1" t="s">
        <v>1</v>
      </c>
      <c r="B367">
        <f t="shared" si="15"/>
        <v>10.709973</v>
      </c>
      <c r="C367">
        <v>10709973</v>
      </c>
      <c r="D367">
        <v>360309.25950270001</v>
      </c>
      <c r="E367">
        <f t="shared" si="16"/>
        <v>33642.405961499622</v>
      </c>
      <c r="F367">
        <v>14</v>
      </c>
      <c r="G367">
        <v>1438424.1255600001</v>
      </c>
      <c r="H367">
        <v>56267.56</v>
      </c>
      <c r="I367">
        <f t="shared" si="17"/>
        <v>1382156.56556</v>
      </c>
    </row>
    <row r="368" spans="1:12" x14ac:dyDescent="0.3">
      <c r="A368" s="1" t="s">
        <v>2</v>
      </c>
      <c r="B368">
        <f t="shared" si="15"/>
        <v>7.4925610000000002</v>
      </c>
      <c r="C368">
        <v>7492561</v>
      </c>
      <c r="D368">
        <v>76235.040627472001</v>
      </c>
      <c r="E368">
        <f t="shared" si="16"/>
        <v>10174.764093007985</v>
      </c>
      <c r="F368">
        <v>14</v>
      </c>
      <c r="G368">
        <v>402409.92772799998</v>
      </c>
      <c r="H368">
        <v>40042.6</v>
      </c>
      <c r="I368">
        <f t="shared" si="17"/>
        <v>362367.327728</v>
      </c>
    </row>
    <row r="369" spans="1:9" x14ac:dyDescent="0.3">
      <c r="A369" s="1" t="s">
        <v>3</v>
      </c>
      <c r="B369">
        <f t="shared" si="15"/>
        <v>0.786632</v>
      </c>
      <c r="C369">
        <v>786632</v>
      </c>
      <c r="D369">
        <v>19417.968000000001</v>
      </c>
      <c r="E369">
        <f t="shared" si="16"/>
        <v>24684.945438273553</v>
      </c>
      <c r="F369">
        <v>14</v>
      </c>
      <c r="G369">
        <v>69442.306668000005</v>
      </c>
      <c r="H369">
        <v>3814.9270000000001</v>
      </c>
      <c r="I369">
        <f t="shared" si="17"/>
        <v>65627.379668000009</v>
      </c>
    </row>
    <row r="370" spans="1:9" x14ac:dyDescent="0.3">
      <c r="A370" s="1" t="s">
        <v>4</v>
      </c>
      <c r="B370">
        <f t="shared" si="15"/>
        <v>10.384603</v>
      </c>
      <c r="C370">
        <v>10384603</v>
      </c>
      <c r="D370">
        <v>4088367.3263817998</v>
      </c>
      <c r="E370">
        <f t="shared" si="16"/>
        <v>393695.10094721959</v>
      </c>
      <c r="F370">
        <v>14</v>
      </c>
      <c r="G370">
        <v>1035789.952824</v>
      </c>
      <c r="H370">
        <v>92756.04</v>
      </c>
      <c r="I370">
        <f t="shared" si="17"/>
        <v>943033.912824</v>
      </c>
    </row>
    <row r="371" spans="1:9" ht="24" x14ac:dyDescent="0.3">
      <c r="A371" s="2" t="s">
        <v>5</v>
      </c>
      <c r="B371">
        <f t="shared" si="15"/>
        <v>82.110096999999996</v>
      </c>
      <c r="C371">
        <v>82110097</v>
      </c>
      <c r="D371">
        <v>2610128.1268291003</v>
      </c>
      <c r="E371">
        <f t="shared" si="16"/>
        <v>31788.150570923091</v>
      </c>
      <c r="F371">
        <v>14</v>
      </c>
      <c r="G371">
        <v>8551613.9437199999</v>
      </c>
      <c r="H371">
        <v>734775.9</v>
      </c>
      <c r="I371">
        <f t="shared" si="17"/>
        <v>7816838.0437199995</v>
      </c>
    </row>
    <row r="372" spans="1:9" x14ac:dyDescent="0.3">
      <c r="A372" s="1" t="s">
        <v>6</v>
      </c>
      <c r="B372">
        <f t="shared" si="15"/>
        <v>5.4936210000000001</v>
      </c>
      <c r="C372">
        <v>5493621</v>
      </c>
      <c r="D372">
        <v>1869388.0519999999</v>
      </c>
      <c r="E372">
        <f t="shared" si="16"/>
        <v>340283.40360574564</v>
      </c>
      <c r="F372">
        <v>14</v>
      </c>
      <c r="G372">
        <v>612456.95264399995</v>
      </c>
      <c r="H372">
        <v>113606.2</v>
      </c>
      <c r="I372">
        <f t="shared" si="17"/>
        <v>498850.75264399993</v>
      </c>
    </row>
    <row r="373" spans="1:9" x14ac:dyDescent="0.3">
      <c r="A373" s="1" t="s">
        <v>7</v>
      </c>
      <c r="B373">
        <f t="shared" si="15"/>
        <v>1.3370899999999999</v>
      </c>
      <c r="C373">
        <v>1337090</v>
      </c>
      <c r="D373">
        <v>16855.135377341998</v>
      </c>
      <c r="E373">
        <f t="shared" si="16"/>
        <v>12605.834594037799</v>
      </c>
      <c r="F373">
        <v>14</v>
      </c>
      <c r="G373">
        <v>126659.199204</v>
      </c>
      <c r="H373">
        <v>25571.22</v>
      </c>
      <c r="I373">
        <f t="shared" si="17"/>
        <v>101087.979204</v>
      </c>
    </row>
    <row r="374" spans="1:9" x14ac:dyDescent="0.3">
      <c r="A374" s="1" t="s">
        <v>8</v>
      </c>
      <c r="B374">
        <f t="shared" si="15"/>
        <v>11.077840999999999</v>
      </c>
      <c r="C374">
        <v>11077841</v>
      </c>
      <c r="D374">
        <v>247770.61275307002</v>
      </c>
      <c r="E374">
        <f t="shared" si="16"/>
        <v>22366.326863968352</v>
      </c>
      <c r="F374">
        <v>14</v>
      </c>
      <c r="G374">
        <v>847778.18191200006</v>
      </c>
      <c r="H374">
        <v>68754.460000000006</v>
      </c>
      <c r="I374">
        <f t="shared" si="17"/>
        <v>779023.7219120001</v>
      </c>
    </row>
    <row r="375" spans="1:9" x14ac:dyDescent="0.3">
      <c r="A375" s="1" t="s">
        <v>31</v>
      </c>
      <c r="B375">
        <f t="shared" si="15"/>
        <v>45.954106000000003</v>
      </c>
      <c r="C375">
        <v>45954106</v>
      </c>
      <c r="D375">
        <v>1112842.047614</v>
      </c>
      <c r="E375">
        <f t="shared" si="16"/>
        <v>24216.379002433427</v>
      </c>
      <c r="F375">
        <v>14</v>
      </c>
      <c r="G375">
        <v>3780877.3470720001</v>
      </c>
      <c r="H375">
        <v>368151.7</v>
      </c>
      <c r="I375">
        <f t="shared" si="17"/>
        <v>3412725.647072</v>
      </c>
    </row>
    <row r="376" spans="1:9" x14ac:dyDescent="0.3">
      <c r="A376" s="1" t="s">
        <v>9</v>
      </c>
      <c r="B376">
        <f t="shared" si="15"/>
        <v>5.3133990000000004</v>
      </c>
      <c r="C376">
        <v>5313399</v>
      </c>
      <c r="D376">
        <v>198349.54667710999</v>
      </c>
      <c r="E376">
        <f t="shared" si="16"/>
        <v>37330.068130985455</v>
      </c>
      <c r="F376">
        <v>14</v>
      </c>
      <c r="G376">
        <v>1024572.636396</v>
      </c>
      <c r="H376">
        <v>355844.6</v>
      </c>
      <c r="I376">
        <f t="shared" si="17"/>
        <v>668728.03639600007</v>
      </c>
    </row>
    <row r="377" spans="1:9" x14ac:dyDescent="0.3">
      <c r="A377" s="1" t="s">
        <v>10</v>
      </c>
      <c r="B377">
        <f t="shared" si="15"/>
        <v>64.178709999999995</v>
      </c>
      <c r="C377">
        <v>64178710</v>
      </c>
      <c r="D377">
        <v>2015034.1112992</v>
      </c>
      <c r="E377">
        <f t="shared" si="16"/>
        <v>31397.236113022529</v>
      </c>
      <c r="F377">
        <v>14</v>
      </c>
      <c r="G377">
        <v>6202354.7438639998</v>
      </c>
      <c r="H377">
        <v>649586.9</v>
      </c>
      <c r="I377">
        <f t="shared" si="17"/>
        <v>5552767.8438639995</v>
      </c>
    </row>
    <row r="378" spans="1:9" x14ac:dyDescent="0.3">
      <c r="A378" s="1" t="s">
        <v>11</v>
      </c>
      <c r="B378">
        <f t="shared" si="15"/>
        <v>4.3108820000000003</v>
      </c>
      <c r="C378">
        <v>4310882</v>
      </c>
      <c r="D378">
        <v>362852.45483569999</v>
      </c>
      <c r="E378">
        <f t="shared" si="16"/>
        <v>84171.27976031354</v>
      </c>
      <c r="F378">
        <v>14</v>
      </c>
      <c r="G378">
        <v>304896.38309999998</v>
      </c>
      <c r="H378">
        <v>73650.5</v>
      </c>
      <c r="I378">
        <f t="shared" si="17"/>
        <v>231245.88309999998</v>
      </c>
    </row>
    <row r="379" spans="1:9" x14ac:dyDescent="0.3">
      <c r="A379" s="1" t="s">
        <v>12</v>
      </c>
      <c r="B379">
        <f t="shared" si="15"/>
        <v>10.038188</v>
      </c>
      <c r="C379">
        <v>10038188</v>
      </c>
      <c r="D379">
        <v>29122852.592602</v>
      </c>
      <c r="E379">
        <f t="shared" si="16"/>
        <v>2901206.1332784365</v>
      </c>
      <c r="F379">
        <v>14</v>
      </c>
      <c r="G379">
        <v>692837.56738799997</v>
      </c>
      <c r="H379">
        <v>46802.49</v>
      </c>
      <c r="I379">
        <f t="shared" si="17"/>
        <v>646035.07738799998</v>
      </c>
    </row>
    <row r="380" spans="1:9" x14ac:dyDescent="0.3">
      <c r="A380" s="1" t="s">
        <v>13</v>
      </c>
      <c r="B380">
        <f t="shared" si="15"/>
        <v>4.4895440000000004</v>
      </c>
      <c r="C380">
        <v>4489544</v>
      </c>
      <c r="D380">
        <v>173316.32945451001</v>
      </c>
      <c r="E380">
        <f t="shared" si="16"/>
        <v>38604.439438506444</v>
      </c>
      <c r="F380">
        <v>14</v>
      </c>
      <c r="G380">
        <v>512263.14425999997</v>
      </c>
      <c r="H380">
        <v>21276.19</v>
      </c>
      <c r="I380">
        <f t="shared" si="17"/>
        <v>490986.95425999997</v>
      </c>
    </row>
    <row r="381" spans="1:9" x14ac:dyDescent="0.3">
      <c r="A381" s="1" t="s">
        <v>14</v>
      </c>
      <c r="B381">
        <f t="shared" si="15"/>
        <v>58.826731000000002</v>
      </c>
      <c r="C381">
        <v>58826731</v>
      </c>
      <c r="D381">
        <v>1672459.9839076002</v>
      </c>
      <c r="E381">
        <f t="shared" si="16"/>
        <v>28430.2723519959</v>
      </c>
      <c r="F381">
        <v>14</v>
      </c>
      <c r="G381">
        <v>5426092.0882440004</v>
      </c>
      <c r="H381">
        <v>587284.9</v>
      </c>
      <c r="I381">
        <f t="shared" si="17"/>
        <v>4838807.1882440001</v>
      </c>
    </row>
    <row r="382" spans="1:9" x14ac:dyDescent="0.3">
      <c r="A382" s="1" t="s">
        <v>15</v>
      </c>
      <c r="B382">
        <f t="shared" si="15"/>
        <v>3.1982309999999998</v>
      </c>
      <c r="C382">
        <v>3198231</v>
      </c>
      <c r="D382">
        <v>32383.744641117999</v>
      </c>
      <c r="E382">
        <f t="shared" si="16"/>
        <v>10125.517713110154</v>
      </c>
      <c r="F382">
        <v>14</v>
      </c>
      <c r="G382">
        <v>210662.61012</v>
      </c>
      <c r="H382">
        <v>38622.53</v>
      </c>
      <c r="I382">
        <f t="shared" si="17"/>
        <v>172040.08012</v>
      </c>
    </row>
    <row r="383" spans="1:9" x14ac:dyDescent="0.3">
      <c r="A383" s="1" t="s">
        <v>16</v>
      </c>
      <c r="B383">
        <f t="shared" si="15"/>
        <v>0.48864999999999997</v>
      </c>
      <c r="C383">
        <v>488650</v>
      </c>
      <c r="D383">
        <v>42233.922273477001</v>
      </c>
      <c r="E383">
        <f t="shared" si="16"/>
        <v>86429.801030342787</v>
      </c>
      <c r="F383">
        <v>14</v>
      </c>
      <c r="G383">
        <v>165619.13166000001</v>
      </c>
      <c r="H383">
        <v>6569.0379999999996</v>
      </c>
      <c r="I383">
        <f t="shared" si="17"/>
        <v>159050.09366000001</v>
      </c>
    </row>
    <row r="384" spans="1:9" x14ac:dyDescent="0.3">
      <c r="A384" s="1" t="s">
        <v>17</v>
      </c>
      <c r="B384">
        <f t="shared" si="15"/>
        <v>2.1773220000000002</v>
      </c>
      <c r="C384">
        <v>2177322</v>
      </c>
      <c r="D384">
        <v>22080.644755958001</v>
      </c>
      <c r="E384">
        <f t="shared" si="16"/>
        <v>10141.193978638896</v>
      </c>
      <c r="F384">
        <v>14</v>
      </c>
      <c r="G384">
        <v>170004.09290399999</v>
      </c>
      <c r="H384">
        <v>57299.77</v>
      </c>
      <c r="I384">
        <f t="shared" si="17"/>
        <v>112704.322904</v>
      </c>
    </row>
    <row r="385" spans="1:12" x14ac:dyDescent="0.3">
      <c r="A385" s="1" t="s">
        <v>18</v>
      </c>
      <c r="B385">
        <f t="shared" si="15"/>
        <v>0.40937899999999999</v>
      </c>
      <c r="C385">
        <v>409379</v>
      </c>
      <c r="D385">
        <v>6531.8692636011001</v>
      </c>
      <c r="E385">
        <f t="shared" si="16"/>
        <v>15955.55527665342</v>
      </c>
      <c r="F385">
        <v>14</v>
      </c>
      <c r="G385">
        <v>15186.821508000001</v>
      </c>
      <c r="H385">
        <v>37.97428</v>
      </c>
      <c r="I385">
        <f t="shared" si="17"/>
        <v>15148.847228000001</v>
      </c>
    </row>
    <row r="386" spans="1:12" x14ac:dyDescent="0.3">
      <c r="A386" s="1" t="s">
        <v>19</v>
      </c>
      <c r="B386">
        <f t="shared" si="15"/>
        <v>16.445592999999999</v>
      </c>
      <c r="C386">
        <v>16445593</v>
      </c>
      <c r="D386">
        <v>654726.14774306002</v>
      </c>
      <c r="E386">
        <f t="shared" si="16"/>
        <v>39811.647274930132</v>
      </c>
      <c r="F386">
        <v>14</v>
      </c>
      <c r="G386">
        <v>2047177.4349239999</v>
      </c>
      <c r="H386">
        <v>81354.52</v>
      </c>
      <c r="I386">
        <f t="shared" si="17"/>
        <v>1965822.9149239999</v>
      </c>
    </row>
    <row r="387" spans="1:12" x14ac:dyDescent="0.3">
      <c r="A387" s="1" t="s">
        <v>20</v>
      </c>
      <c r="B387">
        <f t="shared" ref="B387:B450" si="18">C387/1000000</f>
        <v>38.125759000000002</v>
      </c>
      <c r="C387">
        <v>38125759</v>
      </c>
      <c r="D387">
        <v>1356264.0406386</v>
      </c>
      <c r="E387">
        <f t="shared" ref="E387:E450" si="19">D387/B387</f>
        <v>35573.430567994721</v>
      </c>
      <c r="F387">
        <v>14</v>
      </c>
      <c r="G387">
        <v>2548232.6411879999</v>
      </c>
      <c r="H387">
        <v>204127.2</v>
      </c>
      <c r="I387">
        <f t="shared" ref="I387:I450" si="20">G387-H387</f>
        <v>2344105.4411879997</v>
      </c>
    </row>
    <row r="388" spans="1:12" x14ac:dyDescent="0.3">
      <c r="A388" s="1" t="s">
        <v>21</v>
      </c>
      <c r="B388">
        <f t="shared" si="18"/>
        <v>10.558177000000001</v>
      </c>
      <c r="C388">
        <v>10558177</v>
      </c>
      <c r="D388">
        <v>182232.56690368999</v>
      </c>
      <c r="E388">
        <f t="shared" si="19"/>
        <v>17259.851478497658</v>
      </c>
      <c r="F388">
        <v>14</v>
      </c>
      <c r="G388">
        <v>733598.075052</v>
      </c>
      <c r="H388">
        <v>170115.3</v>
      </c>
      <c r="I388">
        <f t="shared" si="20"/>
        <v>563482.77505200007</v>
      </c>
    </row>
    <row r="389" spans="1:12" x14ac:dyDescent="0.3">
      <c r="A389" s="1" t="s">
        <v>22</v>
      </c>
      <c r="B389">
        <f t="shared" si="18"/>
        <v>20.537875</v>
      </c>
      <c r="C389">
        <v>20537875</v>
      </c>
      <c r="D389">
        <v>582086.17977799999</v>
      </c>
      <c r="E389">
        <f t="shared" si="19"/>
        <v>28342.084065561798</v>
      </c>
      <c r="F389">
        <v>14</v>
      </c>
      <c r="G389">
        <v>1001257.72884</v>
      </c>
      <c r="H389">
        <v>204146.4</v>
      </c>
      <c r="I389">
        <f t="shared" si="20"/>
        <v>797111.32883999997</v>
      </c>
    </row>
    <row r="390" spans="1:12" x14ac:dyDescent="0.3">
      <c r="A390" s="1" t="s">
        <v>23</v>
      </c>
      <c r="B390">
        <f t="shared" si="18"/>
        <v>9.2196370000000005</v>
      </c>
      <c r="C390">
        <v>9219637</v>
      </c>
      <c r="D390">
        <v>3525840.8520427002</v>
      </c>
      <c r="E390">
        <f t="shared" si="19"/>
        <v>382427.29643723503</v>
      </c>
      <c r="F390">
        <v>14</v>
      </c>
      <c r="G390">
        <v>219158.422812</v>
      </c>
      <c r="H390">
        <v>580866.5</v>
      </c>
      <c r="I390">
        <f t="shared" si="20"/>
        <v>-361708.07718799997</v>
      </c>
    </row>
    <row r="391" spans="1:12" x14ac:dyDescent="0.3">
      <c r="A391" s="1" t="s">
        <v>24</v>
      </c>
      <c r="B391">
        <f t="shared" si="18"/>
        <v>2.0213160000000001</v>
      </c>
      <c r="C391">
        <v>2021316</v>
      </c>
      <c r="D391">
        <v>38811.404030999998</v>
      </c>
      <c r="E391">
        <f t="shared" si="19"/>
        <v>19201.057148412219</v>
      </c>
      <c r="F391">
        <v>14</v>
      </c>
      <c r="G391">
        <v>440346.773736</v>
      </c>
      <c r="H391">
        <v>30358.91</v>
      </c>
      <c r="I391">
        <f t="shared" si="20"/>
        <v>409987.86373600003</v>
      </c>
    </row>
    <row r="392" spans="1:12" x14ac:dyDescent="0.3">
      <c r="A392" s="1" t="s">
        <v>25</v>
      </c>
      <c r="B392">
        <f t="shared" si="18"/>
        <v>5.3792330000000002</v>
      </c>
      <c r="C392">
        <v>5379233</v>
      </c>
      <c r="D392">
        <v>68155.172260638996</v>
      </c>
      <c r="E392">
        <f t="shared" si="19"/>
        <v>12670.053939035359</v>
      </c>
      <c r="F392">
        <v>14</v>
      </c>
      <c r="G392">
        <v>1294681.568184</v>
      </c>
      <c r="H392">
        <v>33595.949999999997</v>
      </c>
      <c r="I392">
        <f t="shared" si="20"/>
        <v>1261085.618184</v>
      </c>
    </row>
    <row r="393" spans="1:12" x14ac:dyDescent="0.3">
      <c r="A393" s="1" t="s">
        <v>26</v>
      </c>
      <c r="B393">
        <f t="shared" si="18"/>
        <v>61.806995000000001</v>
      </c>
      <c r="C393">
        <v>61806995</v>
      </c>
      <c r="D393">
        <v>1927034</v>
      </c>
      <c r="E393">
        <f t="shared" si="19"/>
        <v>31178.25094069045</v>
      </c>
      <c r="F393">
        <v>14</v>
      </c>
      <c r="G393">
        <v>5587780.3589880001</v>
      </c>
      <c r="H393">
        <v>155496.29999999999</v>
      </c>
      <c r="I393">
        <f t="shared" si="20"/>
        <v>5432284.0589880003</v>
      </c>
    </row>
    <row r="394" spans="1:12" x14ac:dyDescent="0.3">
      <c r="A394" s="5" t="s">
        <v>0</v>
      </c>
      <c r="B394">
        <f t="shared" si="18"/>
        <v>8.3433229999999998</v>
      </c>
      <c r="C394">
        <v>8343323</v>
      </c>
      <c r="D394">
        <v>290558.80260986998</v>
      </c>
      <c r="E394">
        <f t="shared" si="19"/>
        <v>34825.309125616972</v>
      </c>
      <c r="F394">
        <v>15</v>
      </c>
      <c r="G394">
        <v>1029673.247364</v>
      </c>
      <c r="H394">
        <v>314198.5</v>
      </c>
      <c r="I394">
        <f t="shared" si="20"/>
        <v>715474.74736399995</v>
      </c>
      <c r="K394" s="4"/>
      <c r="L394" s="4"/>
    </row>
    <row r="395" spans="1:12" x14ac:dyDescent="0.3">
      <c r="A395" s="1" t="s">
        <v>1</v>
      </c>
      <c r="B395">
        <f t="shared" si="18"/>
        <v>10.796493</v>
      </c>
      <c r="C395">
        <v>10796493</v>
      </c>
      <c r="D395">
        <v>353028.33514066</v>
      </c>
      <c r="E395">
        <f t="shared" si="19"/>
        <v>32698.426715106471</v>
      </c>
      <c r="F395">
        <v>15</v>
      </c>
      <c r="G395">
        <v>1380648.0021480001</v>
      </c>
      <c r="H395">
        <v>66733.06</v>
      </c>
      <c r="I395">
        <f t="shared" si="20"/>
        <v>1313914.942148</v>
      </c>
    </row>
    <row r="396" spans="1:12" x14ac:dyDescent="0.3">
      <c r="A396" s="1" t="s">
        <v>2</v>
      </c>
      <c r="B396">
        <f t="shared" si="18"/>
        <v>7.4444429999999997</v>
      </c>
      <c r="C396">
        <v>7444443</v>
      </c>
      <c r="D396">
        <v>73740.741188225002</v>
      </c>
      <c r="E396">
        <f t="shared" si="19"/>
        <v>9905.4746188835088</v>
      </c>
      <c r="F396">
        <v>15</v>
      </c>
      <c r="G396">
        <v>354184.85807999998</v>
      </c>
      <c r="H396">
        <v>41298.57</v>
      </c>
      <c r="I396">
        <f t="shared" si="20"/>
        <v>312886.28807999997</v>
      </c>
    </row>
    <row r="397" spans="1:12" x14ac:dyDescent="0.3">
      <c r="A397" s="1" t="s">
        <v>3</v>
      </c>
      <c r="B397">
        <f t="shared" si="18"/>
        <v>0.80803499999999995</v>
      </c>
      <c r="C397">
        <v>808035</v>
      </c>
      <c r="D397">
        <v>19026.645</v>
      </c>
      <c r="E397">
        <f t="shared" si="19"/>
        <v>23546.807997178341</v>
      </c>
      <c r="F397">
        <v>15</v>
      </c>
      <c r="G397">
        <v>68837.983955999996</v>
      </c>
      <c r="H397">
        <v>4115.49</v>
      </c>
      <c r="I397">
        <f t="shared" si="20"/>
        <v>64722.493955999998</v>
      </c>
    </row>
    <row r="398" spans="1:12" x14ac:dyDescent="0.3">
      <c r="A398" s="1" t="s">
        <v>4</v>
      </c>
      <c r="B398">
        <f t="shared" si="18"/>
        <v>10.443936000000001</v>
      </c>
      <c r="C398">
        <v>10443936</v>
      </c>
      <c r="D398">
        <v>3897958.5237465999</v>
      </c>
      <c r="E398">
        <f t="shared" si="19"/>
        <v>373226.96383304143</v>
      </c>
      <c r="F398">
        <v>15</v>
      </c>
      <c r="G398">
        <v>1003267.81152</v>
      </c>
      <c r="H398">
        <v>102475.4</v>
      </c>
      <c r="I398">
        <f t="shared" si="20"/>
        <v>900792.41151999997</v>
      </c>
    </row>
    <row r="399" spans="1:12" ht="24" x14ac:dyDescent="0.3">
      <c r="A399" s="2" t="s">
        <v>5</v>
      </c>
      <c r="B399">
        <f t="shared" si="18"/>
        <v>81.902306999999993</v>
      </c>
      <c r="C399">
        <v>81902307</v>
      </c>
      <c r="D399">
        <v>2461511.7031171001</v>
      </c>
      <c r="E399">
        <f t="shared" si="19"/>
        <v>30054.241367304832</v>
      </c>
      <c r="F399">
        <v>15</v>
      </c>
      <c r="G399">
        <v>8118725.8704479998</v>
      </c>
      <c r="H399">
        <v>781838.3</v>
      </c>
      <c r="I399">
        <f t="shared" si="20"/>
        <v>7336887.570448</v>
      </c>
    </row>
    <row r="400" spans="1:12" x14ac:dyDescent="0.3">
      <c r="A400" s="1" t="s">
        <v>6</v>
      </c>
      <c r="B400">
        <f t="shared" si="18"/>
        <v>5.5230949999999996</v>
      </c>
      <c r="C400">
        <v>5523095</v>
      </c>
      <c r="D400">
        <v>1777665.635</v>
      </c>
      <c r="E400">
        <f t="shared" si="19"/>
        <v>321860.41250422096</v>
      </c>
      <c r="F400">
        <v>15</v>
      </c>
      <c r="G400">
        <v>586539.23713200004</v>
      </c>
      <c r="H400">
        <v>113452.9</v>
      </c>
      <c r="I400">
        <f t="shared" si="20"/>
        <v>473086.33713200002</v>
      </c>
    </row>
    <row r="401" spans="1:9" x14ac:dyDescent="0.3">
      <c r="A401" s="1" t="s">
        <v>7</v>
      </c>
      <c r="B401">
        <f t="shared" si="18"/>
        <v>1.3345149999999999</v>
      </c>
      <c r="C401">
        <v>1334515</v>
      </c>
      <c r="D401">
        <v>14389.387722749001</v>
      </c>
      <c r="E401">
        <f t="shared" si="19"/>
        <v>10782.484814894551</v>
      </c>
      <c r="F401">
        <v>15</v>
      </c>
      <c r="G401">
        <v>114497.550036</v>
      </c>
      <c r="H401">
        <v>27581.05</v>
      </c>
      <c r="I401">
        <f t="shared" si="20"/>
        <v>86916.500035999998</v>
      </c>
    </row>
    <row r="402" spans="1:9" x14ac:dyDescent="0.3">
      <c r="A402" s="1" t="s">
        <v>8</v>
      </c>
      <c r="B402">
        <f t="shared" si="18"/>
        <v>11.107017000000001</v>
      </c>
      <c r="C402">
        <v>11107017</v>
      </c>
      <c r="D402">
        <v>237114.65863947</v>
      </c>
      <c r="E402">
        <f t="shared" si="19"/>
        <v>21348.185443442642</v>
      </c>
      <c r="F402">
        <v>15</v>
      </c>
      <c r="G402">
        <v>823802.72291999997</v>
      </c>
      <c r="H402">
        <v>73483.44</v>
      </c>
      <c r="I402">
        <f t="shared" si="20"/>
        <v>750319.28291999991</v>
      </c>
    </row>
    <row r="403" spans="1:9" x14ac:dyDescent="0.3">
      <c r="A403" s="1" t="s">
        <v>31</v>
      </c>
      <c r="B403">
        <f t="shared" si="18"/>
        <v>46.362946000000001</v>
      </c>
      <c r="C403">
        <v>46362946</v>
      </c>
      <c r="D403">
        <v>1070963.2203821999</v>
      </c>
      <c r="E403">
        <f t="shared" si="19"/>
        <v>23099.550670964694</v>
      </c>
      <c r="F403">
        <v>15</v>
      </c>
      <c r="G403">
        <v>3508129.391508</v>
      </c>
      <c r="H403">
        <v>428621.4</v>
      </c>
      <c r="I403">
        <f t="shared" si="20"/>
        <v>3079507.9915080001</v>
      </c>
    </row>
    <row r="404" spans="1:9" x14ac:dyDescent="0.3">
      <c r="A404" s="1" t="s">
        <v>9</v>
      </c>
      <c r="B404">
        <f t="shared" si="18"/>
        <v>5.3388710000000001</v>
      </c>
      <c r="C404">
        <v>5338871</v>
      </c>
      <c r="D404">
        <v>182333.91679844001</v>
      </c>
      <c r="E404">
        <f t="shared" si="19"/>
        <v>34152.148796710018</v>
      </c>
      <c r="F404">
        <v>15</v>
      </c>
      <c r="G404">
        <v>960932.480904</v>
      </c>
      <c r="H404">
        <v>313251.8</v>
      </c>
      <c r="I404">
        <f t="shared" si="20"/>
        <v>647680.68090400007</v>
      </c>
    </row>
    <row r="405" spans="1:9" x14ac:dyDescent="0.3">
      <c r="A405" s="1" t="s">
        <v>10</v>
      </c>
      <c r="B405">
        <f t="shared" si="18"/>
        <v>64.504541000000003</v>
      </c>
      <c r="C405">
        <v>64504541</v>
      </c>
      <c r="D405">
        <v>1957135.8570590001</v>
      </c>
      <c r="E405">
        <f t="shared" si="19"/>
        <v>30341.055477923637</v>
      </c>
      <c r="F405">
        <v>15</v>
      </c>
      <c r="G405">
        <v>5964436.1913480004</v>
      </c>
      <c r="H405">
        <v>669329.4</v>
      </c>
      <c r="I405">
        <f t="shared" si="20"/>
        <v>5295106.7913480001</v>
      </c>
    </row>
    <row r="406" spans="1:9" x14ac:dyDescent="0.3">
      <c r="A406" s="1" t="s">
        <v>11</v>
      </c>
      <c r="B406">
        <f t="shared" si="18"/>
        <v>4.3063219999999998</v>
      </c>
      <c r="C406">
        <v>4306322</v>
      </c>
      <c r="D406">
        <v>336430.62935618998</v>
      </c>
      <c r="E406">
        <f t="shared" si="19"/>
        <v>78124.819592262254</v>
      </c>
      <c r="F406">
        <v>15</v>
      </c>
      <c r="G406">
        <v>295984.40248799999</v>
      </c>
      <c r="H406">
        <v>80443.399999999994</v>
      </c>
      <c r="I406">
        <f t="shared" si="20"/>
        <v>215541.002488</v>
      </c>
    </row>
    <row r="407" spans="1:9" x14ac:dyDescent="0.3">
      <c r="A407" s="1" t="s">
        <v>12</v>
      </c>
      <c r="B407">
        <f t="shared" si="18"/>
        <v>10.022650000000001</v>
      </c>
      <c r="C407">
        <v>10022650</v>
      </c>
      <c r="D407">
        <v>27202062.384210002</v>
      </c>
      <c r="E407">
        <f t="shared" si="19"/>
        <v>2714058.8950237711</v>
      </c>
      <c r="F407">
        <v>15</v>
      </c>
      <c r="G407">
        <v>666293.59033200005</v>
      </c>
      <c r="H407">
        <v>55963.03</v>
      </c>
      <c r="I407">
        <f t="shared" si="20"/>
        <v>610330.56033200002</v>
      </c>
    </row>
    <row r="408" spans="1:9" x14ac:dyDescent="0.3">
      <c r="A408" s="1" t="s">
        <v>13</v>
      </c>
      <c r="B408">
        <f t="shared" si="18"/>
        <v>4.5353750000000002</v>
      </c>
      <c r="C408">
        <v>4535375</v>
      </c>
      <c r="D408">
        <v>164476.38028014998</v>
      </c>
      <c r="E408">
        <f t="shared" si="19"/>
        <v>36265.221790954434</v>
      </c>
      <c r="F408">
        <v>15</v>
      </c>
      <c r="G408">
        <v>468201.26105999999</v>
      </c>
      <c r="H408">
        <v>24565.38</v>
      </c>
      <c r="I408">
        <f t="shared" si="20"/>
        <v>443635.88105999999</v>
      </c>
    </row>
    <row r="409" spans="1:9" x14ac:dyDescent="0.3">
      <c r="A409" s="1" t="s">
        <v>14</v>
      </c>
      <c r="B409">
        <f t="shared" si="18"/>
        <v>59.095365000000001</v>
      </c>
      <c r="C409">
        <v>59095365</v>
      </c>
      <c r="D409">
        <v>1584138.4223237</v>
      </c>
      <c r="E409">
        <f t="shared" si="19"/>
        <v>26806.474963369801</v>
      </c>
      <c r="F409">
        <v>15</v>
      </c>
      <c r="G409">
        <v>5120685.5016959999</v>
      </c>
      <c r="H409">
        <v>642121.30000000005</v>
      </c>
      <c r="I409">
        <f t="shared" si="20"/>
        <v>4478564.2016960001</v>
      </c>
    </row>
    <row r="410" spans="1:9" x14ac:dyDescent="0.3">
      <c r="A410" s="1" t="s">
        <v>15</v>
      </c>
      <c r="B410">
        <f t="shared" si="18"/>
        <v>3.1629160000000001</v>
      </c>
      <c r="C410">
        <v>3162916</v>
      </c>
      <c r="D410">
        <v>27578.446840273999</v>
      </c>
      <c r="E410">
        <f t="shared" si="19"/>
        <v>8719.3105476952278</v>
      </c>
      <c r="F410">
        <v>15</v>
      </c>
      <c r="G410">
        <v>192055.67542799999</v>
      </c>
      <c r="H410">
        <v>38577.230000000003</v>
      </c>
      <c r="I410">
        <f t="shared" si="20"/>
        <v>153478.44542799998</v>
      </c>
    </row>
    <row r="411" spans="1:9" x14ac:dyDescent="0.3">
      <c r="A411" s="1" t="s">
        <v>16</v>
      </c>
      <c r="B411">
        <f t="shared" si="18"/>
        <v>0.49778299999999998</v>
      </c>
      <c r="C411">
        <v>497783</v>
      </c>
      <c r="D411">
        <v>40865.984947311998</v>
      </c>
      <c r="E411">
        <f t="shared" si="19"/>
        <v>82095.983485398261</v>
      </c>
      <c r="F411">
        <v>15</v>
      </c>
      <c r="G411">
        <v>153586.770876</v>
      </c>
      <c r="H411">
        <v>5739.7870000000003</v>
      </c>
      <c r="I411">
        <f t="shared" si="20"/>
        <v>147846.98387599998</v>
      </c>
    </row>
    <row r="412" spans="1:9" x14ac:dyDescent="0.3">
      <c r="A412" s="1" t="s">
        <v>17</v>
      </c>
      <c r="B412">
        <f t="shared" si="18"/>
        <v>2.1416689999999998</v>
      </c>
      <c r="C412">
        <v>2141669</v>
      </c>
      <c r="D412">
        <v>18934.531918273999</v>
      </c>
      <c r="E412">
        <f t="shared" si="19"/>
        <v>8841.016944389632</v>
      </c>
      <c r="F412">
        <v>15</v>
      </c>
      <c r="G412">
        <v>164956.44495599999</v>
      </c>
      <c r="H412">
        <v>63333.61</v>
      </c>
      <c r="I412">
        <f t="shared" si="20"/>
        <v>101622.83495599999</v>
      </c>
    </row>
    <row r="413" spans="1:9" x14ac:dyDescent="0.3">
      <c r="A413" s="1" t="s">
        <v>18</v>
      </c>
      <c r="B413">
        <f t="shared" si="18"/>
        <v>0.41247699999999998</v>
      </c>
      <c r="C413">
        <v>412477</v>
      </c>
      <c r="D413">
        <v>6457.8061187900003</v>
      </c>
      <c r="E413">
        <f t="shared" si="19"/>
        <v>15656.160510258755</v>
      </c>
      <c r="F413">
        <v>15</v>
      </c>
      <c r="G413">
        <v>14794.099668000001</v>
      </c>
      <c r="H413">
        <v>38.979109999999999</v>
      </c>
      <c r="I413">
        <f t="shared" si="20"/>
        <v>14755.120558000001</v>
      </c>
    </row>
    <row r="414" spans="1:9" x14ac:dyDescent="0.3">
      <c r="A414" s="1" t="s">
        <v>19</v>
      </c>
      <c r="B414">
        <f t="shared" si="18"/>
        <v>16.530387999999999</v>
      </c>
      <c r="C414">
        <v>16530388</v>
      </c>
      <c r="D414">
        <v>630718.09929734992</v>
      </c>
      <c r="E414">
        <f t="shared" si="19"/>
        <v>38155.069275890557</v>
      </c>
      <c r="F414">
        <v>15</v>
      </c>
      <c r="G414">
        <v>1978798.7429279999</v>
      </c>
      <c r="H414">
        <v>87267.63</v>
      </c>
      <c r="I414">
        <f t="shared" si="20"/>
        <v>1891531.1129279998</v>
      </c>
    </row>
    <row r="415" spans="1:9" x14ac:dyDescent="0.3">
      <c r="A415" s="1" t="s">
        <v>20</v>
      </c>
      <c r="B415">
        <f t="shared" si="18"/>
        <v>38.151603000000001</v>
      </c>
      <c r="C415">
        <v>38151603</v>
      </c>
      <c r="D415">
        <v>1394675.8529174</v>
      </c>
      <c r="E415">
        <f t="shared" si="19"/>
        <v>36556.153431283085</v>
      </c>
      <c r="F415">
        <v>15</v>
      </c>
      <c r="G415">
        <v>2523321.8510759999</v>
      </c>
      <c r="H415">
        <v>223113.7</v>
      </c>
      <c r="I415">
        <f t="shared" si="20"/>
        <v>2300208.1510759997</v>
      </c>
    </row>
    <row r="416" spans="1:9" x14ac:dyDescent="0.3">
      <c r="A416" s="1" t="s">
        <v>21</v>
      </c>
      <c r="B416">
        <f t="shared" si="18"/>
        <v>10.568247</v>
      </c>
      <c r="C416">
        <v>10568247</v>
      </c>
      <c r="D416">
        <v>176543.12110364001</v>
      </c>
      <c r="E416">
        <f t="shared" si="19"/>
        <v>16705.052512837749</v>
      </c>
      <c r="F416">
        <v>15</v>
      </c>
      <c r="G416">
        <v>727172.21628000005</v>
      </c>
      <c r="H416">
        <v>181026.2</v>
      </c>
      <c r="I416">
        <f t="shared" si="20"/>
        <v>546146.0162800001</v>
      </c>
    </row>
    <row r="417" spans="1:12" x14ac:dyDescent="0.3">
      <c r="A417" s="1" t="s">
        <v>22</v>
      </c>
      <c r="B417">
        <f t="shared" si="18"/>
        <v>20.367487000000001</v>
      </c>
      <c r="C417">
        <v>20367487</v>
      </c>
      <c r="D417">
        <v>549970.08596699999</v>
      </c>
      <c r="E417">
        <f t="shared" si="19"/>
        <v>27002.353602435094</v>
      </c>
      <c r="F417">
        <v>15</v>
      </c>
      <c r="G417">
        <v>907237.18958400004</v>
      </c>
      <c r="H417">
        <v>201245.8</v>
      </c>
      <c r="I417">
        <f t="shared" si="20"/>
        <v>705991.38958399999</v>
      </c>
    </row>
    <row r="418" spans="1:12" x14ac:dyDescent="0.3">
      <c r="A418" s="1" t="s">
        <v>23</v>
      </c>
      <c r="B418">
        <f t="shared" si="18"/>
        <v>9.2985150000000001</v>
      </c>
      <c r="C418">
        <v>9298515</v>
      </c>
      <c r="D418">
        <v>3372826.7430727999</v>
      </c>
      <c r="E418">
        <f t="shared" si="19"/>
        <v>362727.46165089798</v>
      </c>
      <c r="F418">
        <v>15</v>
      </c>
      <c r="G418">
        <v>201339.73695600001</v>
      </c>
      <c r="H418">
        <v>596301.6</v>
      </c>
      <c r="I418">
        <f t="shared" si="20"/>
        <v>-394961.863044</v>
      </c>
    </row>
    <row r="419" spans="1:12" x14ac:dyDescent="0.3">
      <c r="A419" s="1" t="s">
        <v>24</v>
      </c>
      <c r="B419">
        <f t="shared" si="18"/>
        <v>2.039669</v>
      </c>
      <c r="C419">
        <v>2039669</v>
      </c>
      <c r="D419">
        <v>35881.748967</v>
      </c>
      <c r="E419">
        <f t="shared" si="19"/>
        <v>17591.947010519845</v>
      </c>
      <c r="F419">
        <v>15</v>
      </c>
      <c r="G419">
        <v>403994.38032</v>
      </c>
      <c r="H419">
        <v>38311.660000000003</v>
      </c>
      <c r="I419">
        <f t="shared" si="20"/>
        <v>365682.72031999996</v>
      </c>
    </row>
    <row r="420" spans="1:12" x14ac:dyDescent="0.3">
      <c r="A420" s="1" t="s">
        <v>25</v>
      </c>
      <c r="B420">
        <f t="shared" si="18"/>
        <v>5.386406</v>
      </c>
      <c r="C420">
        <v>5386406</v>
      </c>
      <c r="D420">
        <v>64436.943854998004</v>
      </c>
      <c r="E420">
        <f t="shared" si="19"/>
        <v>11962.882830406397</v>
      </c>
      <c r="F420">
        <v>15</v>
      </c>
      <c r="G420">
        <v>1266641.8568279999</v>
      </c>
      <c r="H420">
        <v>40395.97</v>
      </c>
      <c r="I420">
        <f t="shared" si="20"/>
        <v>1226245.886828</v>
      </c>
    </row>
    <row r="421" spans="1:12" x14ac:dyDescent="0.3">
      <c r="A421" s="1" t="s">
        <v>26</v>
      </c>
      <c r="B421">
        <f t="shared" si="18"/>
        <v>62.276269999999997</v>
      </c>
      <c r="C421">
        <v>62276270</v>
      </c>
      <c r="D421">
        <v>1845186</v>
      </c>
      <c r="E421">
        <f t="shared" si="19"/>
        <v>29629.038476453392</v>
      </c>
      <c r="F421">
        <v>15</v>
      </c>
      <c r="G421">
        <v>5194740.029112</v>
      </c>
      <c r="H421">
        <v>175739.7</v>
      </c>
      <c r="I421">
        <f t="shared" si="20"/>
        <v>5019000.3291119998</v>
      </c>
    </row>
    <row r="422" spans="1:12" x14ac:dyDescent="0.3">
      <c r="A422" s="5" t="s">
        <v>0</v>
      </c>
      <c r="B422">
        <f t="shared" si="18"/>
        <v>8.3634039999999992</v>
      </c>
      <c r="C422">
        <v>8363404</v>
      </c>
      <c r="D422">
        <v>295896.64</v>
      </c>
      <c r="E422">
        <f t="shared" si="19"/>
        <v>35379.92903368055</v>
      </c>
      <c r="F422">
        <v>16</v>
      </c>
      <c r="G422">
        <v>1086040.470708</v>
      </c>
      <c r="H422">
        <v>332971.5</v>
      </c>
      <c r="I422">
        <f t="shared" si="20"/>
        <v>753068.97070800001</v>
      </c>
      <c r="K422" s="4"/>
      <c r="L422" s="4"/>
    </row>
    <row r="423" spans="1:12" x14ac:dyDescent="0.3">
      <c r="A423" s="1" t="s">
        <v>1</v>
      </c>
      <c r="B423">
        <f t="shared" si="18"/>
        <v>10.895586</v>
      </c>
      <c r="C423">
        <v>10895586</v>
      </c>
      <c r="D423">
        <v>363140.1</v>
      </c>
      <c r="E423">
        <f t="shared" si="19"/>
        <v>33329.102262145425</v>
      </c>
      <c r="F423">
        <v>16</v>
      </c>
      <c r="G423">
        <v>1473452.3178719999</v>
      </c>
      <c r="H423">
        <v>86011.18</v>
      </c>
      <c r="I423">
        <f t="shared" si="20"/>
        <v>1387441.137872</v>
      </c>
    </row>
    <row r="424" spans="1:12" x14ac:dyDescent="0.3">
      <c r="A424" s="1" t="s">
        <v>2</v>
      </c>
      <c r="B424">
        <f t="shared" si="18"/>
        <v>7.3955989999999998</v>
      </c>
      <c r="C424">
        <v>7395599</v>
      </c>
      <c r="D424">
        <v>74877.676999999996</v>
      </c>
      <c r="E424">
        <f t="shared" si="19"/>
        <v>10124.626416332199</v>
      </c>
      <c r="F424">
        <v>16</v>
      </c>
      <c r="G424">
        <v>364001.731776</v>
      </c>
      <c r="H424">
        <v>52298.05</v>
      </c>
      <c r="I424">
        <f t="shared" si="20"/>
        <v>311703.68177600001</v>
      </c>
    </row>
    <row r="425" spans="1:12" x14ac:dyDescent="0.3">
      <c r="A425" s="1" t="s">
        <v>3</v>
      </c>
      <c r="B425">
        <f t="shared" si="18"/>
        <v>0.82944600000000002</v>
      </c>
      <c r="C425">
        <v>829446</v>
      </c>
      <c r="D425">
        <v>19409.973999999998</v>
      </c>
      <c r="E425">
        <f t="shared" si="19"/>
        <v>23401.130393057534</v>
      </c>
      <c r="F425">
        <v>16</v>
      </c>
      <c r="G425">
        <v>68278.041324000005</v>
      </c>
      <c r="H425">
        <v>4337.8580000000002</v>
      </c>
      <c r="I425">
        <f t="shared" si="20"/>
        <v>63940.183324000005</v>
      </c>
    </row>
    <row r="426" spans="1:12" x14ac:dyDescent="0.3">
      <c r="A426" s="1" t="s">
        <v>4</v>
      </c>
      <c r="B426">
        <f t="shared" si="18"/>
        <v>10.474410000000001</v>
      </c>
      <c r="C426">
        <v>10474410</v>
      </c>
      <c r="D426">
        <v>3992870</v>
      </c>
      <c r="E426">
        <f t="shared" si="19"/>
        <v>381202.37798596767</v>
      </c>
      <c r="F426">
        <v>16</v>
      </c>
      <c r="G426">
        <v>1010251.2264479999</v>
      </c>
      <c r="H426">
        <v>110296.4</v>
      </c>
      <c r="I426">
        <f t="shared" si="20"/>
        <v>899954.82644799992</v>
      </c>
    </row>
    <row r="427" spans="1:12" ht="24" x14ac:dyDescent="0.3">
      <c r="A427" s="2" t="s">
        <v>5</v>
      </c>
      <c r="B427">
        <f t="shared" si="18"/>
        <v>81.776929999999993</v>
      </c>
      <c r="C427">
        <v>81776930</v>
      </c>
      <c r="D427">
        <v>2564400</v>
      </c>
      <c r="E427">
        <f t="shared" si="19"/>
        <v>31358.477262474884</v>
      </c>
      <c r="F427">
        <v>16</v>
      </c>
      <c r="G427">
        <v>8638160.0401440002</v>
      </c>
      <c r="H427">
        <v>889170.7</v>
      </c>
      <c r="I427">
        <f t="shared" si="20"/>
        <v>7748989.340144</v>
      </c>
    </row>
    <row r="428" spans="1:12" x14ac:dyDescent="0.3">
      <c r="A428" s="1" t="s">
        <v>6</v>
      </c>
      <c r="B428">
        <f t="shared" si="18"/>
        <v>5.5476830000000001</v>
      </c>
      <c r="C428">
        <v>5547683</v>
      </c>
      <c r="D428">
        <v>1810925.601</v>
      </c>
      <c r="E428">
        <f t="shared" si="19"/>
        <v>326429.17791085033</v>
      </c>
      <c r="F428">
        <v>16</v>
      </c>
      <c r="G428">
        <v>615520.51794000005</v>
      </c>
      <c r="H428">
        <v>131443.4</v>
      </c>
      <c r="I428">
        <f t="shared" si="20"/>
        <v>484077.11794000003</v>
      </c>
    </row>
    <row r="429" spans="1:12" x14ac:dyDescent="0.3">
      <c r="A429" s="1" t="s">
        <v>7</v>
      </c>
      <c r="B429">
        <f t="shared" si="18"/>
        <v>1.331475</v>
      </c>
      <c r="C429">
        <v>1331475</v>
      </c>
      <c r="D429">
        <v>14741.1026</v>
      </c>
      <c r="E429">
        <f t="shared" si="19"/>
        <v>11071.257515161757</v>
      </c>
      <c r="F429">
        <v>16</v>
      </c>
      <c r="G429">
        <v>120305.73020400001</v>
      </c>
      <c r="H429">
        <v>30232.7</v>
      </c>
      <c r="I429">
        <f t="shared" si="20"/>
        <v>90073.03020400001</v>
      </c>
    </row>
    <row r="430" spans="1:12" x14ac:dyDescent="0.3">
      <c r="A430" s="1" t="s">
        <v>8</v>
      </c>
      <c r="B430">
        <f t="shared" si="18"/>
        <v>11.121340999999999</v>
      </c>
      <c r="C430">
        <v>11121341</v>
      </c>
      <c r="D430">
        <v>224124.02987599999</v>
      </c>
      <c r="E430">
        <f t="shared" si="19"/>
        <v>20152.608383827093</v>
      </c>
      <c r="F430">
        <v>16</v>
      </c>
      <c r="G430">
        <v>767000.03050800005</v>
      </c>
      <c r="H430">
        <v>85083.18</v>
      </c>
      <c r="I430">
        <f t="shared" si="20"/>
        <v>681916.850508</v>
      </c>
    </row>
    <row r="431" spans="1:12" x14ac:dyDescent="0.3">
      <c r="A431" s="1" t="s">
        <v>31</v>
      </c>
      <c r="B431">
        <f t="shared" si="18"/>
        <v>46.576897000000002</v>
      </c>
      <c r="C431">
        <v>46576897</v>
      </c>
      <c r="D431">
        <v>1072709</v>
      </c>
      <c r="E431">
        <f t="shared" si="19"/>
        <v>23030.924537544866</v>
      </c>
      <c r="F431">
        <v>16</v>
      </c>
      <c r="G431">
        <v>3567336.3538199998</v>
      </c>
      <c r="H431">
        <v>513546.1</v>
      </c>
      <c r="I431">
        <f t="shared" si="20"/>
        <v>3053790.2538199998</v>
      </c>
    </row>
    <row r="432" spans="1:12" x14ac:dyDescent="0.3">
      <c r="A432" s="1" t="s">
        <v>9</v>
      </c>
      <c r="B432">
        <f t="shared" si="18"/>
        <v>5.3633519999999999</v>
      </c>
      <c r="C432">
        <v>5363352</v>
      </c>
      <c r="D432">
        <v>188143</v>
      </c>
      <c r="E432">
        <f t="shared" si="19"/>
        <v>35079.368275660447</v>
      </c>
      <c r="F432">
        <v>16</v>
      </c>
      <c r="G432">
        <v>1056260.2647239999</v>
      </c>
      <c r="H432">
        <v>354714</v>
      </c>
      <c r="I432">
        <f t="shared" si="20"/>
        <v>701546.26472399989</v>
      </c>
    </row>
    <row r="433" spans="1:9" x14ac:dyDescent="0.3">
      <c r="A433" s="1" t="s">
        <v>10</v>
      </c>
      <c r="B433">
        <f t="shared" si="18"/>
        <v>64.818788999999995</v>
      </c>
      <c r="C433">
        <v>64818789</v>
      </c>
      <c r="D433">
        <v>1995289</v>
      </c>
      <c r="E433">
        <f t="shared" si="19"/>
        <v>30782.571392995327</v>
      </c>
      <c r="F433">
        <v>16</v>
      </c>
      <c r="G433">
        <v>6172542.8019359997</v>
      </c>
      <c r="H433">
        <v>731191.6</v>
      </c>
      <c r="I433">
        <f t="shared" si="20"/>
        <v>5441351.201936</v>
      </c>
    </row>
    <row r="434" spans="1:9" x14ac:dyDescent="0.3">
      <c r="A434" s="1" t="s">
        <v>11</v>
      </c>
      <c r="B434">
        <f t="shared" si="18"/>
        <v>4.2963519999999997</v>
      </c>
      <c r="C434">
        <v>4296352</v>
      </c>
      <c r="D434">
        <v>332222.88990000001</v>
      </c>
      <c r="E434">
        <f t="shared" si="19"/>
        <v>77326.739033487014</v>
      </c>
      <c r="F434">
        <v>16</v>
      </c>
      <c r="G434">
        <v>297224.78385599999</v>
      </c>
      <c r="H434">
        <v>88498.82</v>
      </c>
      <c r="I434">
        <f t="shared" si="20"/>
        <v>208725.96385599999</v>
      </c>
    </row>
    <row r="435" spans="1:9" x14ac:dyDescent="0.3">
      <c r="A435" s="1" t="s">
        <v>12</v>
      </c>
      <c r="B435">
        <f t="shared" si="18"/>
        <v>10.000023000000001</v>
      </c>
      <c r="C435">
        <v>10000023</v>
      </c>
      <c r="D435">
        <v>27496693</v>
      </c>
      <c r="E435">
        <f t="shared" si="19"/>
        <v>2749662.9757751557</v>
      </c>
      <c r="F435">
        <v>16</v>
      </c>
      <c r="G435">
        <v>709079.33689200005</v>
      </c>
      <c r="H435">
        <v>95413.92</v>
      </c>
      <c r="I435">
        <f t="shared" si="20"/>
        <v>613665.41689200001</v>
      </c>
    </row>
    <row r="436" spans="1:9" x14ac:dyDescent="0.3">
      <c r="A436" s="1" t="s">
        <v>13</v>
      </c>
      <c r="B436">
        <f t="shared" si="18"/>
        <v>4.560155</v>
      </c>
      <c r="C436">
        <v>4560155</v>
      </c>
      <c r="D436">
        <v>167363.07302499999</v>
      </c>
      <c r="E436">
        <f t="shared" si="19"/>
        <v>36701.180776749912</v>
      </c>
      <c r="F436">
        <v>16</v>
      </c>
      <c r="G436">
        <v>464716.08500399999</v>
      </c>
      <c r="H436">
        <v>24506.98</v>
      </c>
      <c r="I436">
        <f t="shared" si="20"/>
        <v>440209.10500400001</v>
      </c>
    </row>
    <row r="437" spans="1:9" x14ac:dyDescent="0.3">
      <c r="A437" s="1" t="s">
        <v>14</v>
      </c>
      <c r="B437">
        <f t="shared" si="18"/>
        <v>59.277417</v>
      </c>
      <c r="C437">
        <v>59277417</v>
      </c>
      <c r="D437">
        <v>1611279.4</v>
      </c>
      <c r="E437">
        <f t="shared" si="19"/>
        <v>27182.010984048105</v>
      </c>
      <c r="F437">
        <v>16</v>
      </c>
      <c r="G437">
        <v>5199032.0852640001</v>
      </c>
      <c r="H437">
        <v>665169</v>
      </c>
      <c r="I437">
        <f t="shared" si="20"/>
        <v>4533863.0852640001</v>
      </c>
    </row>
    <row r="438" spans="1:9" x14ac:dyDescent="0.3">
      <c r="A438" s="1" t="s">
        <v>15</v>
      </c>
      <c r="B438">
        <f t="shared" si="18"/>
        <v>3.0972819999999999</v>
      </c>
      <c r="C438">
        <v>3097282</v>
      </c>
      <c r="D438">
        <v>28033.833371000001</v>
      </c>
      <c r="E438">
        <f t="shared" si="19"/>
        <v>9051.1078329322299</v>
      </c>
      <c r="F438">
        <v>16</v>
      </c>
      <c r="G438">
        <v>198389.550204</v>
      </c>
      <c r="H438">
        <v>42569.74</v>
      </c>
      <c r="I438">
        <f t="shared" si="20"/>
        <v>155819.81020400001</v>
      </c>
    </row>
    <row r="439" spans="1:9" x14ac:dyDescent="0.3">
      <c r="A439" s="1" t="s">
        <v>16</v>
      </c>
      <c r="B439">
        <f t="shared" si="18"/>
        <v>0.50695299999999999</v>
      </c>
      <c r="C439">
        <v>506953</v>
      </c>
      <c r="D439">
        <v>42402.714999999997</v>
      </c>
      <c r="E439">
        <f t="shared" si="19"/>
        <v>83642.300173783369</v>
      </c>
      <c r="F439">
        <v>16</v>
      </c>
      <c r="G439">
        <v>163481.64465599999</v>
      </c>
      <c r="H439">
        <v>5982.91</v>
      </c>
      <c r="I439">
        <f t="shared" si="20"/>
        <v>157498.73465599999</v>
      </c>
    </row>
    <row r="440" spans="1:9" x14ac:dyDescent="0.3">
      <c r="A440" s="1" t="s">
        <v>17</v>
      </c>
      <c r="B440">
        <f t="shared" si="18"/>
        <v>2.0975549999999998</v>
      </c>
      <c r="C440">
        <v>2097555</v>
      </c>
      <c r="D440">
        <v>18087.98</v>
      </c>
      <c r="E440">
        <f t="shared" si="19"/>
        <v>8623.3638688854408</v>
      </c>
      <c r="F440">
        <v>16</v>
      </c>
      <c r="G440">
        <v>167632.98246</v>
      </c>
      <c r="H440">
        <v>55426.17</v>
      </c>
      <c r="I440">
        <f t="shared" si="20"/>
        <v>112206.81246</v>
      </c>
    </row>
    <row r="441" spans="1:9" x14ac:dyDescent="0.3">
      <c r="A441" s="1" t="s">
        <v>18</v>
      </c>
      <c r="B441">
        <f t="shared" si="18"/>
        <v>0.41450799999999999</v>
      </c>
      <c r="C441">
        <v>414508</v>
      </c>
      <c r="D441">
        <v>6815.8036419999999</v>
      </c>
      <c r="E441">
        <f t="shared" si="19"/>
        <v>16443.117242610515</v>
      </c>
      <c r="F441">
        <v>16</v>
      </c>
      <c r="G441">
        <v>16856.977896</v>
      </c>
      <c r="H441">
        <v>233.84119999999999</v>
      </c>
      <c r="I441">
        <f t="shared" si="20"/>
        <v>16623.136696000001</v>
      </c>
    </row>
    <row r="442" spans="1:9" x14ac:dyDescent="0.3">
      <c r="A442" s="1" t="s">
        <v>19</v>
      </c>
      <c r="B442">
        <f t="shared" si="18"/>
        <v>16.615393999999998</v>
      </c>
      <c r="C442">
        <v>16615394</v>
      </c>
      <c r="D442">
        <v>639187</v>
      </c>
      <c r="E442">
        <f t="shared" si="19"/>
        <v>38469.56623478204</v>
      </c>
      <c r="F442">
        <v>16</v>
      </c>
      <c r="G442">
        <v>2121847.8406199999</v>
      </c>
      <c r="H442">
        <v>82182.62</v>
      </c>
      <c r="I442">
        <f t="shared" si="20"/>
        <v>2039665.2206199998</v>
      </c>
    </row>
    <row r="443" spans="1:9" x14ac:dyDescent="0.3">
      <c r="A443" s="1" t="s">
        <v>20</v>
      </c>
      <c r="B443">
        <f t="shared" si="18"/>
        <v>38.042794000000001</v>
      </c>
      <c r="C443">
        <v>38042794</v>
      </c>
      <c r="D443">
        <v>1446844</v>
      </c>
      <c r="E443">
        <f t="shared" si="19"/>
        <v>38032.012054635103</v>
      </c>
      <c r="F443">
        <v>16</v>
      </c>
      <c r="G443">
        <v>2717708.1087239999</v>
      </c>
      <c r="H443">
        <v>257873.1</v>
      </c>
      <c r="I443">
        <f t="shared" si="20"/>
        <v>2459835.0087239998</v>
      </c>
    </row>
    <row r="444" spans="1:9" x14ac:dyDescent="0.3">
      <c r="A444" s="1" t="s">
        <v>21</v>
      </c>
      <c r="B444">
        <f t="shared" si="18"/>
        <v>10.5731</v>
      </c>
      <c r="C444">
        <v>10573100</v>
      </c>
      <c r="D444">
        <v>179610.77900000001</v>
      </c>
      <c r="E444">
        <f t="shared" si="19"/>
        <v>16987.522959207803</v>
      </c>
      <c r="F444">
        <v>16</v>
      </c>
      <c r="G444">
        <v>720995.26276800002</v>
      </c>
      <c r="H444">
        <v>200638.4</v>
      </c>
      <c r="I444">
        <f t="shared" si="20"/>
        <v>520356.86276799999</v>
      </c>
    </row>
    <row r="445" spans="1:9" x14ac:dyDescent="0.3">
      <c r="A445" s="1" t="s">
        <v>22</v>
      </c>
      <c r="B445">
        <f t="shared" si="18"/>
        <v>20.246870999999999</v>
      </c>
      <c r="C445">
        <v>20246871</v>
      </c>
      <c r="D445">
        <v>528514.5</v>
      </c>
      <c r="E445">
        <f t="shared" si="19"/>
        <v>26103.514957940912</v>
      </c>
      <c r="F445">
        <v>16</v>
      </c>
      <c r="G445">
        <v>914017.58658</v>
      </c>
      <c r="H445">
        <v>220239</v>
      </c>
      <c r="I445">
        <f t="shared" si="20"/>
        <v>693778.58658</v>
      </c>
    </row>
    <row r="446" spans="1:9" x14ac:dyDescent="0.3">
      <c r="A446" s="1" t="s">
        <v>23</v>
      </c>
      <c r="B446">
        <f t="shared" si="18"/>
        <v>9.378126</v>
      </c>
      <c r="C446">
        <v>9378126</v>
      </c>
      <c r="D446">
        <v>3573581</v>
      </c>
      <c r="E446">
        <f t="shared" si="19"/>
        <v>381054.9143826816</v>
      </c>
      <c r="F446">
        <v>16</v>
      </c>
      <c r="G446">
        <v>209779.781472</v>
      </c>
      <c r="H446">
        <v>630467.9</v>
      </c>
      <c r="I446">
        <f t="shared" si="20"/>
        <v>-420688.11852800002</v>
      </c>
    </row>
    <row r="447" spans="1:9" x14ac:dyDescent="0.3">
      <c r="A447" s="1" t="s">
        <v>24</v>
      </c>
      <c r="B447">
        <f t="shared" si="18"/>
        <v>2.0485829999999998</v>
      </c>
      <c r="C447">
        <v>2048583</v>
      </c>
      <c r="D447">
        <v>36363.909425999998</v>
      </c>
      <c r="E447">
        <f t="shared" si="19"/>
        <v>17750.762076030114</v>
      </c>
      <c r="F447">
        <v>16</v>
      </c>
      <c r="G447">
        <v>433831.77799199999</v>
      </c>
      <c r="H447">
        <v>40917.03</v>
      </c>
      <c r="I447">
        <f t="shared" si="20"/>
        <v>392914.74799199996</v>
      </c>
    </row>
    <row r="448" spans="1:9" x14ac:dyDescent="0.3">
      <c r="A448" s="1" t="s">
        <v>25</v>
      </c>
      <c r="B448">
        <f t="shared" si="18"/>
        <v>5.3914280000000003</v>
      </c>
      <c r="C448">
        <v>5391428</v>
      </c>
      <c r="D448">
        <v>68492.145000000004</v>
      </c>
      <c r="E448">
        <f t="shared" si="19"/>
        <v>12703.896815463362</v>
      </c>
      <c r="F448">
        <v>16</v>
      </c>
      <c r="G448">
        <v>1371243.9887999999</v>
      </c>
      <c r="H448">
        <v>44596.76</v>
      </c>
      <c r="I448">
        <f t="shared" si="20"/>
        <v>1326647.2287999999</v>
      </c>
    </row>
    <row r="449" spans="1:12" x14ac:dyDescent="0.3">
      <c r="A449" s="1" t="s">
        <v>26</v>
      </c>
      <c r="B449">
        <f t="shared" si="18"/>
        <v>62.766365</v>
      </c>
      <c r="C449">
        <v>62766365</v>
      </c>
      <c r="D449">
        <v>1884515</v>
      </c>
      <c r="E449">
        <f t="shared" si="19"/>
        <v>30024.281316912329</v>
      </c>
      <c r="F449">
        <v>16</v>
      </c>
      <c r="G449">
        <v>5454398.4150240002</v>
      </c>
      <c r="H449">
        <v>198481.1</v>
      </c>
      <c r="I449">
        <f t="shared" si="20"/>
        <v>5255917.3150240006</v>
      </c>
    </row>
    <row r="450" spans="1:12" x14ac:dyDescent="0.3">
      <c r="A450" s="5" t="s">
        <v>0</v>
      </c>
      <c r="B450">
        <f t="shared" si="18"/>
        <v>8.3916430000000002</v>
      </c>
      <c r="C450">
        <v>8391643</v>
      </c>
      <c r="D450">
        <v>304545.09895643999</v>
      </c>
      <c r="E450">
        <f t="shared" si="19"/>
        <v>36291.474620219189</v>
      </c>
      <c r="F450">
        <v>17</v>
      </c>
      <c r="G450">
        <v>1045519.53174</v>
      </c>
      <c r="H450">
        <v>323991.8</v>
      </c>
      <c r="I450">
        <f t="shared" si="20"/>
        <v>721527.73173999996</v>
      </c>
      <c r="K450" s="4"/>
      <c r="L450" s="4"/>
    </row>
    <row r="451" spans="1:12" x14ac:dyDescent="0.3">
      <c r="A451" s="1" t="s">
        <v>1</v>
      </c>
      <c r="B451">
        <f t="shared" ref="B451:B514" si="21">C451/1000000</f>
        <v>11.038264</v>
      </c>
      <c r="C451">
        <v>11038264</v>
      </c>
      <c r="D451">
        <v>369293.55946593999</v>
      </c>
      <c r="E451">
        <f t="shared" ref="E451:E514" si="22">D451/B451</f>
        <v>33455.76437254445</v>
      </c>
      <c r="F451">
        <v>17</v>
      </c>
      <c r="G451">
        <v>1356267.1353120001</v>
      </c>
      <c r="H451">
        <v>89948.52</v>
      </c>
      <c r="I451">
        <f t="shared" ref="I451:I514" si="23">G451-H451</f>
        <v>1266318.615312</v>
      </c>
    </row>
    <row r="452" spans="1:12" x14ac:dyDescent="0.3">
      <c r="A452" s="1" t="s">
        <v>2</v>
      </c>
      <c r="B452">
        <f t="shared" si="21"/>
        <v>7.3483280000000004</v>
      </c>
      <c r="C452">
        <v>7348328</v>
      </c>
      <c r="D452">
        <v>76451.011054660004</v>
      </c>
      <c r="E452">
        <f t="shared" si="22"/>
        <v>10403.864804981487</v>
      </c>
      <c r="F452">
        <v>17</v>
      </c>
      <c r="G452">
        <v>380994.86440800002</v>
      </c>
      <c r="H452">
        <v>50584.800000000003</v>
      </c>
      <c r="I452">
        <f t="shared" si="23"/>
        <v>330410.06440800003</v>
      </c>
    </row>
    <row r="453" spans="1:12" x14ac:dyDescent="0.3">
      <c r="A453" s="1" t="s">
        <v>3</v>
      </c>
      <c r="B453">
        <f t="shared" si="21"/>
        <v>0.850881</v>
      </c>
      <c r="C453">
        <v>850881</v>
      </c>
      <c r="D453">
        <v>19487.893</v>
      </c>
      <c r="E453">
        <f t="shared" si="22"/>
        <v>22903.194453748525</v>
      </c>
      <c r="F453">
        <v>17</v>
      </c>
      <c r="G453">
        <v>66928.384476000007</v>
      </c>
      <c r="H453">
        <v>4963.2430000000004</v>
      </c>
      <c r="I453">
        <f t="shared" si="23"/>
        <v>61965.141476000004</v>
      </c>
    </row>
    <row r="454" spans="1:12" x14ac:dyDescent="0.3">
      <c r="A454" s="1" t="s">
        <v>4</v>
      </c>
      <c r="B454">
        <f t="shared" si="21"/>
        <v>10.496088</v>
      </c>
      <c r="C454">
        <v>10496088</v>
      </c>
      <c r="D454">
        <v>4063158.8713368997</v>
      </c>
      <c r="E454">
        <f t="shared" si="22"/>
        <v>387111.73832926131</v>
      </c>
      <c r="F454">
        <v>17</v>
      </c>
      <c r="G454">
        <v>976896.07941600005</v>
      </c>
      <c r="H454">
        <v>118405.7</v>
      </c>
      <c r="I454">
        <f t="shared" si="23"/>
        <v>858490.3794160001</v>
      </c>
    </row>
    <row r="455" spans="1:12" ht="24" x14ac:dyDescent="0.3">
      <c r="A455" s="2" t="s">
        <v>5</v>
      </c>
      <c r="B455">
        <f t="shared" si="21"/>
        <v>80.274983000000006</v>
      </c>
      <c r="C455">
        <v>80274983</v>
      </c>
      <c r="D455">
        <v>2665057.6417176002</v>
      </c>
      <c r="E455">
        <f t="shared" si="22"/>
        <v>33199.10565060599</v>
      </c>
      <c r="F455">
        <v>17</v>
      </c>
      <c r="G455">
        <v>8211583.0654560002</v>
      </c>
      <c r="H455">
        <v>935657</v>
      </c>
      <c r="I455">
        <f t="shared" si="23"/>
        <v>7275926.0654560002</v>
      </c>
    </row>
    <row r="456" spans="1:12" x14ac:dyDescent="0.3">
      <c r="A456" s="1" t="s">
        <v>6</v>
      </c>
      <c r="B456">
        <f t="shared" si="21"/>
        <v>5.5705720000000003</v>
      </c>
      <c r="C456">
        <v>5570572</v>
      </c>
      <c r="D456">
        <v>1835133.652</v>
      </c>
      <c r="E456">
        <f t="shared" si="22"/>
        <v>329433.61148549913</v>
      </c>
      <c r="F456">
        <v>17</v>
      </c>
      <c r="G456">
        <v>584450.35887600004</v>
      </c>
      <c r="H456">
        <v>139677.6</v>
      </c>
      <c r="I456">
        <f t="shared" si="23"/>
        <v>444772.75887600007</v>
      </c>
    </row>
    <row r="457" spans="1:12" x14ac:dyDescent="0.3">
      <c r="A457" s="1" t="s">
        <v>7</v>
      </c>
      <c r="B457">
        <f t="shared" si="21"/>
        <v>1.327439</v>
      </c>
      <c r="C457">
        <v>1327439</v>
      </c>
      <c r="D457">
        <v>15811.761536836</v>
      </c>
      <c r="E457">
        <f t="shared" si="22"/>
        <v>11911.478822632151</v>
      </c>
      <c r="F457">
        <v>17</v>
      </c>
      <c r="G457">
        <v>117387.279396</v>
      </c>
      <c r="H457">
        <v>29327.5</v>
      </c>
      <c r="I457">
        <f t="shared" si="23"/>
        <v>88059.779395999998</v>
      </c>
    </row>
    <row r="458" spans="1:12" x14ac:dyDescent="0.3">
      <c r="A458" s="1" t="s">
        <v>8</v>
      </c>
      <c r="B458">
        <f t="shared" si="21"/>
        <v>11.104899</v>
      </c>
      <c r="C458">
        <v>11104899</v>
      </c>
      <c r="D458">
        <v>201376.97710761998</v>
      </c>
      <c r="E458">
        <f t="shared" si="22"/>
        <v>18134.066514933635</v>
      </c>
      <c r="F458">
        <v>17</v>
      </c>
      <c r="G458">
        <v>759050.26027199998</v>
      </c>
      <c r="H458">
        <v>84165.89</v>
      </c>
      <c r="I458">
        <f t="shared" si="23"/>
        <v>674884.37027199997</v>
      </c>
    </row>
    <row r="459" spans="1:12" x14ac:dyDescent="0.3">
      <c r="A459" s="1" t="s">
        <v>31</v>
      </c>
      <c r="B459">
        <f t="shared" si="21"/>
        <v>46.742697</v>
      </c>
      <c r="C459">
        <v>46742697</v>
      </c>
      <c r="D459">
        <v>1063973.1426530001</v>
      </c>
      <c r="E459">
        <f t="shared" si="22"/>
        <v>22762.33959399048</v>
      </c>
      <c r="F459">
        <v>17</v>
      </c>
      <c r="G459">
        <v>3435926.5182599998</v>
      </c>
      <c r="H459">
        <v>506659.2</v>
      </c>
      <c r="I459">
        <f t="shared" si="23"/>
        <v>2929267.3182599996</v>
      </c>
    </row>
    <row r="460" spans="1:12" x14ac:dyDescent="0.3">
      <c r="A460" s="1" t="s">
        <v>9</v>
      </c>
      <c r="B460">
        <f t="shared" si="21"/>
        <v>5.3882719999999997</v>
      </c>
      <c r="C460">
        <v>5388272</v>
      </c>
      <c r="D460">
        <v>192936.25305696001</v>
      </c>
      <c r="E460">
        <f t="shared" si="22"/>
        <v>35806.702604649508</v>
      </c>
      <c r="F460">
        <v>17</v>
      </c>
      <c r="G460">
        <v>1000087.6438439999</v>
      </c>
      <c r="H460">
        <v>352610.7</v>
      </c>
      <c r="I460">
        <f t="shared" si="23"/>
        <v>647476.94384399988</v>
      </c>
    </row>
    <row r="461" spans="1:12" x14ac:dyDescent="0.3">
      <c r="A461" s="1" t="s">
        <v>10</v>
      </c>
      <c r="B461">
        <f t="shared" si="21"/>
        <v>65.127852000000004</v>
      </c>
      <c r="C461">
        <v>65127852</v>
      </c>
      <c r="D461">
        <v>2039039.7148593001</v>
      </c>
      <c r="E461">
        <f t="shared" si="22"/>
        <v>31308.259864908487</v>
      </c>
      <c r="F461">
        <v>17</v>
      </c>
      <c r="G461">
        <v>5657173.4707559999</v>
      </c>
      <c r="H461">
        <v>617406.4</v>
      </c>
      <c r="I461">
        <f t="shared" si="23"/>
        <v>5039767.0707559995</v>
      </c>
    </row>
    <row r="462" spans="1:12" x14ac:dyDescent="0.3">
      <c r="A462" s="1" t="s">
        <v>11</v>
      </c>
      <c r="B462">
        <f t="shared" si="21"/>
        <v>4.282921</v>
      </c>
      <c r="C462">
        <v>4282921</v>
      </c>
      <c r="D462">
        <v>331939.69125077</v>
      </c>
      <c r="E462">
        <f t="shared" si="22"/>
        <v>77503.108567907271</v>
      </c>
      <c r="F462">
        <v>17</v>
      </c>
      <c r="G462">
        <v>286614.59529600001</v>
      </c>
      <c r="H462">
        <v>77919.73</v>
      </c>
      <c r="I462">
        <f t="shared" si="23"/>
        <v>208694.86529600003</v>
      </c>
    </row>
    <row r="463" spans="1:12" x14ac:dyDescent="0.3">
      <c r="A463" s="1" t="s">
        <v>12</v>
      </c>
      <c r="B463">
        <f t="shared" si="21"/>
        <v>9.9717269999999996</v>
      </c>
      <c r="C463">
        <v>9971727</v>
      </c>
      <c r="D463">
        <v>28008174.129556</v>
      </c>
      <c r="E463">
        <f t="shared" si="22"/>
        <v>2808758.6161911576</v>
      </c>
      <c r="F463">
        <v>17</v>
      </c>
      <c r="G463">
        <v>712376.44189200003</v>
      </c>
      <c r="H463">
        <v>105025.60000000001</v>
      </c>
      <c r="I463">
        <f t="shared" si="23"/>
        <v>607350.84189200005</v>
      </c>
    </row>
    <row r="464" spans="1:12" x14ac:dyDescent="0.3">
      <c r="A464" s="1" t="s">
        <v>13</v>
      </c>
      <c r="B464">
        <f t="shared" si="21"/>
        <v>4.5800840000000003</v>
      </c>
      <c r="C464">
        <v>4580084</v>
      </c>
      <c r="D464">
        <v>169151.38782253</v>
      </c>
      <c r="E464">
        <f t="shared" si="22"/>
        <v>36931.940074140563</v>
      </c>
      <c r="F464">
        <v>17</v>
      </c>
      <c r="G464">
        <v>423070.61342399998</v>
      </c>
      <c r="H464">
        <v>28385.35</v>
      </c>
      <c r="I464">
        <f t="shared" si="23"/>
        <v>394685.263424</v>
      </c>
    </row>
    <row r="465" spans="1:12" x14ac:dyDescent="0.3">
      <c r="A465" s="1" t="s">
        <v>14</v>
      </c>
      <c r="B465">
        <f t="shared" si="21"/>
        <v>59.379449000000001</v>
      </c>
      <c r="C465">
        <v>59379449</v>
      </c>
      <c r="D465">
        <v>1622676.5165101001</v>
      </c>
      <c r="E465">
        <f t="shared" si="22"/>
        <v>27327.241054562499</v>
      </c>
      <c r="F465">
        <v>17</v>
      </c>
      <c r="G465">
        <v>4967023.6614960004</v>
      </c>
      <c r="H465">
        <v>591321.19999999995</v>
      </c>
      <c r="I465">
        <f t="shared" si="23"/>
        <v>4375702.4614960002</v>
      </c>
    </row>
    <row r="466" spans="1:12" x14ac:dyDescent="0.3">
      <c r="A466" s="1" t="s">
        <v>15</v>
      </c>
      <c r="B466">
        <f t="shared" si="21"/>
        <v>3.0281150000000001</v>
      </c>
      <c r="C466">
        <v>3028115</v>
      </c>
      <c r="D466">
        <v>29726.799499229001</v>
      </c>
      <c r="E466">
        <f t="shared" si="22"/>
        <v>9816.9321506049146</v>
      </c>
      <c r="F466">
        <v>17</v>
      </c>
      <c r="G466">
        <v>197188.901568</v>
      </c>
      <c r="H466">
        <v>44837.35</v>
      </c>
      <c r="I466">
        <f t="shared" si="23"/>
        <v>152351.551568</v>
      </c>
    </row>
    <row r="467" spans="1:12" x14ac:dyDescent="0.3">
      <c r="A467" s="1" t="s">
        <v>16</v>
      </c>
      <c r="B467">
        <f t="shared" si="21"/>
        <v>0.518347</v>
      </c>
      <c r="C467">
        <v>518347</v>
      </c>
      <c r="D467">
        <v>42845.525999202</v>
      </c>
      <c r="E467">
        <f t="shared" si="22"/>
        <v>82657.999369538171</v>
      </c>
      <c r="F467">
        <v>17</v>
      </c>
      <c r="G467">
        <v>163285.95362399999</v>
      </c>
      <c r="H467">
        <v>6095.9480000000003</v>
      </c>
      <c r="I467">
        <f t="shared" si="23"/>
        <v>157190.00562399998</v>
      </c>
    </row>
    <row r="468" spans="1:12" x14ac:dyDescent="0.3">
      <c r="A468" s="1" t="s">
        <v>17</v>
      </c>
      <c r="B468">
        <f t="shared" si="21"/>
        <v>2.0597089999999998</v>
      </c>
      <c r="C468">
        <v>2059709</v>
      </c>
      <c r="D468">
        <v>18551.832313575</v>
      </c>
      <c r="E468">
        <f t="shared" si="22"/>
        <v>9007.0161918868162</v>
      </c>
      <c r="F468">
        <v>17</v>
      </c>
      <c r="G468">
        <v>157194.07588799999</v>
      </c>
      <c r="H468">
        <v>55857.22</v>
      </c>
      <c r="I468">
        <f t="shared" si="23"/>
        <v>101336.85588799999</v>
      </c>
    </row>
    <row r="469" spans="1:12" x14ac:dyDescent="0.3">
      <c r="A469" s="1" t="s">
        <v>18</v>
      </c>
      <c r="B469">
        <f t="shared" si="21"/>
        <v>0.41626800000000003</v>
      </c>
      <c r="C469">
        <v>416268</v>
      </c>
      <c r="D469">
        <v>6847.6368915395005</v>
      </c>
      <c r="E469">
        <f t="shared" si="22"/>
        <v>16450.067964723446</v>
      </c>
      <c r="F469">
        <v>17</v>
      </c>
      <c r="G469">
        <v>16300.928988</v>
      </c>
      <c r="H469">
        <v>330.358</v>
      </c>
      <c r="I469">
        <f t="shared" si="23"/>
        <v>15970.570987999999</v>
      </c>
    </row>
    <row r="470" spans="1:12" x14ac:dyDescent="0.3">
      <c r="A470" s="1" t="s">
        <v>19</v>
      </c>
      <c r="B470">
        <f t="shared" si="21"/>
        <v>16.693073999999999</v>
      </c>
      <c r="C470">
        <v>16693074</v>
      </c>
      <c r="D470">
        <v>649102.00000087998</v>
      </c>
      <c r="E470">
        <f t="shared" si="22"/>
        <v>38884.509827302027</v>
      </c>
      <c r="F470">
        <v>17</v>
      </c>
      <c r="G470">
        <v>1964456.18964</v>
      </c>
      <c r="H470">
        <v>92264.89</v>
      </c>
      <c r="I470">
        <f t="shared" si="23"/>
        <v>1872191.2996400001</v>
      </c>
    </row>
    <row r="471" spans="1:12" x14ac:dyDescent="0.3">
      <c r="A471" s="1" t="s">
        <v>20</v>
      </c>
      <c r="B471">
        <f t="shared" si="21"/>
        <v>38.063254999999998</v>
      </c>
      <c r="C471">
        <v>38063255</v>
      </c>
      <c r="D471">
        <v>1515679.5657728999</v>
      </c>
      <c r="E471">
        <f t="shared" si="22"/>
        <v>39820.019747993174</v>
      </c>
      <c r="F471">
        <v>17</v>
      </c>
      <c r="G471">
        <v>2648204.6329080001</v>
      </c>
      <c r="H471">
        <v>276416.40000000002</v>
      </c>
      <c r="I471">
        <f t="shared" si="23"/>
        <v>2371788.2329080002</v>
      </c>
    </row>
    <row r="472" spans="1:12" x14ac:dyDescent="0.3">
      <c r="A472" s="1" t="s">
        <v>21</v>
      </c>
      <c r="B472">
        <f t="shared" si="21"/>
        <v>10.55756</v>
      </c>
      <c r="C472">
        <v>10557560</v>
      </c>
      <c r="D472">
        <v>176564.28442036</v>
      </c>
      <c r="E472">
        <f t="shared" si="22"/>
        <v>16723.966941259154</v>
      </c>
      <c r="F472">
        <v>17</v>
      </c>
      <c r="G472">
        <v>686468.98404000001</v>
      </c>
      <c r="H472">
        <v>186850.7</v>
      </c>
      <c r="I472">
        <f t="shared" si="23"/>
        <v>499618.28404</v>
      </c>
    </row>
    <row r="473" spans="1:12" x14ac:dyDescent="0.3">
      <c r="A473" s="1" t="s">
        <v>22</v>
      </c>
      <c r="B473">
        <f t="shared" si="21"/>
        <v>20.147528000000001</v>
      </c>
      <c r="C473">
        <v>20147528</v>
      </c>
      <c r="D473">
        <v>538588.30000000005</v>
      </c>
      <c r="E473">
        <f t="shared" si="22"/>
        <v>26732.227397822702</v>
      </c>
      <c r="F473">
        <v>17</v>
      </c>
      <c r="G473">
        <v>922204.95771600003</v>
      </c>
      <c r="H473">
        <v>194702.7</v>
      </c>
      <c r="I473">
        <f t="shared" si="23"/>
        <v>727502.25771600008</v>
      </c>
    </row>
    <row r="474" spans="1:12" x14ac:dyDescent="0.3">
      <c r="A474" s="1" t="s">
        <v>23</v>
      </c>
      <c r="B474">
        <f t="shared" si="21"/>
        <v>9.4492130000000003</v>
      </c>
      <c r="C474">
        <v>9449213</v>
      </c>
      <c r="D474">
        <v>3687768.8213687004</v>
      </c>
      <c r="E474">
        <f t="shared" si="22"/>
        <v>390272.58898372808</v>
      </c>
      <c r="F474">
        <v>17</v>
      </c>
      <c r="G474">
        <v>209318.64731999999</v>
      </c>
      <c r="H474">
        <v>604701</v>
      </c>
      <c r="I474">
        <f t="shared" si="23"/>
        <v>-395382.35268000001</v>
      </c>
    </row>
    <row r="475" spans="1:12" x14ac:dyDescent="0.3">
      <c r="A475" s="1" t="s">
        <v>24</v>
      </c>
      <c r="B475">
        <f t="shared" si="21"/>
        <v>2.0528430000000002</v>
      </c>
      <c r="C475">
        <v>2052843</v>
      </c>
      <c r="D475">
        <v>36677.122363000002</v>
      </c>
      <c r="E475">
        <f t="shared" si="22"/>
        <v>17866.50141437996</v>
      </c>
      <c r="F475">
        <v>17</v>
      </c>
      <c r="G475">
        <v>407082.18718800001</v>
      </c>
      <c r="H475">
        <v>38904.870000000003</v>
      </c>
      <c r="I475">
        <f t="shared" si="23"/>
        <v>368177.31718800002</v>
      </c>
    </row>
    <row r="476" spans="1:12" x14ac:dyDescent="0.3">
      <c r="A476" s="1" t="s">
        <v>25</v>
      </c>
      <c r="B476">
        <f t="shared" si="21"/>
        <v>5.3983840000000001</v>
      </c>
      <c r="C476">
        <v>5398384</v>
      </c>
      <c r="D476">
        <v>70298.555755455993</v>
      </c>
      <c r="E476">
        <f t="shared" si="22"/>
        <v>13022.148064208843</v>
      </c>
      <c r="F476">
        <v>17</v>
      </c>
      <c r="G476">
        <v>1300795.091676</v>
      </c>
      <c r="H476">
        <v>42163.81</v>
      </c>
      <c r="I476">
        <f t="shared" si="23"/>
        <v>1258631.281676</v>
      </c>
    </row>
    <row r="477" spans="1:12" x14ac:dyDescent="0.3">
      <c r="A477" s="1" t="s">
        <v>26</v>
      </c>
      <c r="B477">
        <f t="shared" si="21"/>
        <v>63.258809999999997</v>
      </c>
      <c r="C477">
        <v>63258810</v>
      </c>
      <c r="D477">
        <v>1911983</v>
      </c>
      <c r="E477">
        <f t="shared" si="22"/>
        <v>30224.770273105045</v>
      </c>
      <c r="F477">
        <v>17</v>
      </c>
      <c r="G477">
        <v>4966001.1193319997</v>
      </c>
      <c r="H477">
        <v>218559.6</v>
      </c>
      <c r="I477">
        <f t="shared" si="23"/>
        <v>4747441.5193320001</v>
      </c>
    </row>
    <row r="478" spans="1:12" x14ac:dyDescent="0.3">
      <c r="A478" s="5" t="s">
        <v>0</v>
      </c>
      <c r="B478">
        <f t="shared" si="21"/>
        <v>8.4299909999999993</v>
      </c>
      <c r="C478">
        <v>8429991</v>
      </c>
      <c r="D478">
        <v>306617.36261170002</v>
      </c>
      <c r="E478">
        <f t="shared" si="22"/>
        <v>36372.205214892878</v>
      </c>
      <c r="F478">
        <v>18</v>
      </c>
      <c r="G478">
        <v>1044662.49378</v>
      </c>
      <c r="H478">
        <v>349194.5</v>
      </c>
      <c r="I478">
        <f t="shared" si="23"/>
        <v>695467.99378000002</v>
      </c>
      <c r="K478" s="4"/>
      <c r="L478" s="4"/>
    </row>
    <row r="479" spans="1:12" x14ac:dyDescent="0.3">
      <c r="A479" s="1" t="s">
        <v>1</v>
      </c>
      <c r="B479">
        <f t="shared" si="21"/>
        <v>11.106932</v>
      </c>
      <c r="C479">
        <v>11106932</v>
      </c>
      <c r="D479">
        <v>372023.44128272997</v>
      </c>
      <c r="E479">
        <f t="shared" si="22"/>
        <v>33494.707744922714</v>
      </c>
      <c r="F479">
        <v>18</v>
      </c>
      <c r="G479">
        <v>1369680.512076</v>
      </c>
      <c r="H479">
        <v>106269.8</v>
      </c>
      <c r="I479">
        <f t="shared" si="23"/>
        <v>1263410.7120759999</v>
      </c>
      <c r="K479" s="7"/>
      <c r="L479" s="7"/>
    </row>
    <row r="480" spans="1:12" x14ac:dyDescent="0.3">
      <c r="A480" s="1" t="s">
        <v>2</v>
      </c>
      <c r="B480">
        <f t="shared" si="21"/>
        <v>7.3058880000000004</v>
      </c>
      <c r="C480">
        <v>7305888</v>
      </c>
      <c r="D480">
        <v>77028.162967501994</v>
      </c>
      <c r="E480">
        <f t="shared" si="22"/>
        <v>10543.299181085446</v>
      </c>
      <c r="F480">
        <v>18</v>
      </c>
      <c r="G480">
        <v>380311.41117600002</v>
      </c>
      <c r="H480">
        <v>59904.57</v>
      </c>
      <c r="I480">
        <f t="shared" si="23"/>
        <v>320406.84117600002</v>
      </c>
    </row>
    <row r="481" spans="1:9" x14ac:dyDescent="0.3">
      <c r="A481" s="1" t="s">
        <v>3</v>
      </c>
      <c r="B481">
        <f t="shared" si="21"/>
        <v>0.86394499999999996</v>
      </c>
      <c r="C481">
        <v>863945</v>
      </c>
      <c r="D481">
        <v>18816.18</v>
      </c>
      <c r="E481">
        <f t="shared" si="22"/>
        <v>21779.372529501299</v>
      </c>
      <c r="F481">
        <v>18</v>
      </c>
      <c r="G481">
        <v>61858.253411999998</v>
      </c>
      <c r="H481">
        <v>5158.2979999999998</v>
      </c>
      <c r="I481">
        <f t="shared" si="23"/>
        <v>56699.955411999996</v>
      </c>
    </row>
    <row r="482" spans="1:9" x14ac:dyDescent="0.3">
      <c r="A482" s="1" t="s">
        <v>4</v>
      </c>
      <c r="B482">
        <f t="shared" si="21"/>
        <v>10.510785</v>
      </c>
      <c r="C482">
        <v>10510785</v>
      </c>
      <c r="D482">
        <v>4031262.8995214999</v>
      </c>
      <c r="E482">
        <f t="shared" si="22"/>
        <v>383535.85384169687</v>
      </c>
      <c r="F482">
        <v>18</v>
      </c>
      <c r="G482">
        <v>976261.82108400005</v>
      </c>
      <c r="H482">
        <v>124598.5</v>
      </c>
      <c r="I482">
        <f t="shared" si="23"/>
        <v>851663.32108400005</v>
      </c>
    </row>
    <row r="483" spans="1:9" ht="24" x14ac:dyDescent="0.3">
      <c r="A483" s="2" t="s">
        <v>5</v>
      </c>
      <c r="B483">
        <f t="shared" si="21"/>
        <v>80.425822999999994</v>
      </c>
      <c r="C483">
        <v>80425823</v>
      </c>
      <c r="D483">
        <v>2676210.8438327</v>
      </c>
      <c r="E483">
        <f t="shared" si="22"/>
        <v>33275.517041742925</v>
      </c>
      <c r="F483">
        <v>18</v>
      </c>
      <c r="G483">
        <v>8300447.2255680002</v>
      </c>
      <c r="H483">
        <v>997310</v>
      </c>
      <c r="I483">
        <f t="shared" si="23"/>
        <v>7303137.2255680002</v>
      </c>
    </row>
    <row r="484" spans="1:9" x14ac:dyDescent="0.3">
      <c r="A484" s="1" t="s">
        <v>6</v>
      </c>
      <c r="B484">
        <f t="shared" si="21"/>
        <v>5.5915720000000002</v>
      </c>
      <c r="C484">
        <v>5591572</v>
      </c>
      <c r="D484">
        <v>1839290.226</v>
      </c>
      <c r="E484">
        <f t="shared" si="22"/>
        <v>328939.73751925217</v>
      </c>
      <c r="F484">
        <v>18</v>
      </c>
      <c r="G484">
        <v>560788.95175200002</v>
      </c>
      <c r="H484">
        <v>152994.20000000001</v>
      </c>
      <c r="I484">
        <f t="shared" si="23"/>
        <v>407794.75175200001</v>
      </c>
    </row>
    <row r="485" spans="1:9" x14ac:dyDescent="0.3">
      <c r="A485" s="1" t="s">
        <v>7</v>
      </c>
      <c r="B485">
        <f t="shared" si="21"/>
        <v>1.3226960000000001</v>
      </c>
      <c r="C485">
        <v>1322696</v>
      </c>
      <c r="D485">
        <v>16322.197156181999</v>
      </c>
      <c r="E485">
        <f t="shared" si="22"/>
        <v>12340.097162297307</v>
      </c>
      <c r="F485">
        <v>18</v>
      </c>
      <c r="G485">
        <v>118797.51923999999</v>
      </c>
      <c r="H485">
        <v>29590.75</v>
      </c>
      <c r="I485">
        <f t="shared" si="23"/>
        <v>89206.769239999994</v>
      </c>
    </row>
    <row r="486" spans="1:9" x14ac:dyDescent="0.3">
      <c r="A486" s="1" t="s">
        <v>8</v>
      </c>
      <c r="B486">
        <f t="shared" si="21"/>
        <v>11.045011000000001</v>
      </c>
      <c r="C486">
        <v>11045011</v>
      </c>
      <c r="D486">
        <v>187106.00109167999</v>
      </c>
      <c r="E486">
        <f t="shared" si="22"/>
        <v>16940.318220749621</v>
      </c>
      <c r="F486">
        <v>18</v>
      </c>
      <c r="G486">
        <v>684435.706488</v>
      </c>
      <c r="H486">
        <v>94858.53</v>
      </c>
      <c r="I486">
        <f t="shared" si="23"/>
        <v>589577.17648799997</v>
      </c>
    </row>
    <row r="487" spans="1:9" x14ac:dyDescent="0.3">
      <c r="A487" s="1" t="s">
        <v>31</v>
      </c>
      <c r="B487">
        <f t="shared" si="21"/>
        <v>46.773054999999999</v>
      </c>
      <c r="C487">
        <v>46773055</v>
      </c>
      <c r="D487">
        <v>1032485.4820299001</v>
      </c>
      <c r="E487">
        <f t="shared" si="22"/>
        <v>22074.364867334411</v>
      </c>
      <c r="F487">
        <v>18</v>
      </c>
      <c r="G487">
        <v>3294173.737584</v>
      </c>
      <c r="H487">
        <v>519522.5</v>
      </c>
      <c r="I487">
        <f t="shared" si="23"/>
        <v>2774651.237584</v>
      </c>
    </row>
    <row r="488" spans="1:9" x14ac:dyDescent="0.3">
      <c r="A488" s="1" t="s">
        <v>9</v>
      </c>
      <c r="B488">
        <f t="shared" si="21"/>
        <v>5.4139710000000001</v>
      </c>
      <c r="C488">
        <v>5413971</v>
      </c>
      <c r="D488">
        <v>190239.88069426001</v>
      </c>
      <c r="E488">
        <f t="shared" si="22"/>
        <v>35138.695921027283</v>
      </c>
      <c r="F488">
        <v>18</v>
      </c>
      <c r="G488">
        <v>1009976.195556</v>
      </c>
      <c r="H488">
        <v>391897.7</v>
      </c>
      <c r="I488">
        <f t="shared" si="23"/>
        <v>618078.49555599992</v>
      </c>
    </row>
    <row r="489" spans="1:9" x14ac:dyDescent="0.3">
      <c r="A489" s="1" t="s">
        <v>10</v>
      </c>
      <c r="B489">
        <f t="shared" si="21"/>
        <v>65.438666999999995</v>
      </c>
      <c r="C489">
        <v>65438667</v>
      </c>
      <c r="D489">
        <v>2045424.6566627</v>
      </c>
      <c r="E489">
        <f t="shared" si="22"/>
        <v>31257.12595372244</v>
      </c>
      <c r="F489">
        <v>18</v>
      </c>
      <c r="G489">
        <v>5861607.6715919999</v>
      </c>
      <c r="H489">
        <v>725254.3</v>
      </c>
      <c r="I489">
        <f t="shared" si="23"/>
        <v>5136353.3715920001</v>
      </c>
    </row>
    <row r="490" spans="1:9" x14ac:dyDescent="0.3">
      <c r="A490" s="1" t="s">
        <v>11</v>
      </c>
      <c r="B490">
        <f t="shared" si="21"/>
        <v>4.2690619999999999</v>
      </c>
      <c r="C490">
        <v>4269062</v>
      </c>
      <c r="D490">
        <v>324385.71764575999</v>
      </c>
      <c r="E490">
        <f t="shared" si="22"/>
        <v>75985.243982345535</v>
      </c>
      <c r="F490">
        <v>18</v>
      </c>
      <c r="G490">
        <v>273407.04161999997</v>
      </c>
      <c r="H490">
        <v>80441.679999999993</v>
      </c>
      <c r="I490">
        <f t="shared" si="23"/>
        <v>192965.36161999998</v>
      </c>
    </row>
    <row r="491" spans="1:9" x14ac:dyDescent="0.3">
      <c r="A491" s="1" t="s">
        <v>12</v>
      </c>
      <c r="B491">
        <f t="shared" si="21"/>
        <v>9.9203620000000008</v>
      </c>
      <c r="C491">
        <v>9920362</v>
      </c>
      <c r="D491">
        <v>27655901.457486998</v>
      </c>
      <c r="E491">
        <f t="shared" si="22"/>
        <v>2787791.5601756261</v>
      </c>
      <c r="F491">
        <v>18</v>
      </c>
      <c r="G491">
        <v>673207.546248</v>
      </c>
      <c r="H491">
        <v>110845</v>
      </c>
      <c r="I491">
        <f t="shared" si="23"/>
        <v>562362.546248</v>
      </c>
    </row>
    <row r="492" spans="1:9" x14ac:dyDescent="0.3">
      <c r="A492" s="1" t="s">
        <v>13</v>
      </c>
      <c r="B492">
        <f t="shared" si="21"/>
        <v>4.5995330000000001</v>
      </c>
      <c r="C492">
        <v>4599533</v>
      </c>
      <c r="D492">
        <v>169062.82883161999</v>
      </c>
      <c r="E492">
        <f t="shared" si="22"/>
        <v>36756.520462320848</v>
      </c>
      <c r="F492">
        <v>18</v>
      </c>
      <c r="G492">
        <v>416254.25181599997</v>
      </c>
      <c r="H492">
        <v>27549.99</v>
      </c>
      <c r="I492">
        <f t="shared" si="23"/>
        <v>388704.26181599998</v>
      </c>
    </row>
    <row r="493" spans="1:9" x14ac:dyDescent="0.3">
      <c r="A493" s="1" t="s">
        <v>14</v>
      </c>
      <c r="B493">
        <f t="shared" si="21"/>
        <v>59.539717000000003</v>
      </c>
      <c r="C493">
        <v>59539717</v>
      </c>
      <c r="D493">
        <v>1574306.0586296001</v>
      </c>
      <c r="E493">
        <f t="shared" si="22"/>
        <v>26441.275470449415</v>
      </c>
      <c r="F493">
        <v>18</v>
      </c>
      <c r="G493">
        <v>4920561.2346480004</v>
      </c>
      <c r="H493">
        <v>708149.9</v>
      </c>
      <c r="I493">
        <f t="shared" si="23"/>
        <v>4212411.3346480001</v>
      </c>
    </row>
    <row r="494" spans="1:9" x14ac:dyDescent="0.3">
      <c r="A494" s="1" t="s">
        <v>15</v>
      </c>
      <c r="B494">
        <f t="shared" si="21"/>
        <v>2.9877729999999998</v>
      </c>
      <c r="C494">
        <v>2987773</v>
      </c>
      <c r="D494">
        <v>30869.457380488999</v>
      </c>
      <c r="E494">
        <f t="shared" si="22"/>
        <v>10331.928623924576</v>
      </c>
      <c r="F494">
        <v>18</v>
      </c>
      <c r="G494">
        <v>201827.54102400001</v>
      </c>
      <c r="H494">
        <v>48282.36</v>
      </c>
      <c r="I494">
        <f t="shared" si="23"/>
        <v>153545.18102399999</v>
      </c>
    </row>
    <row r="495" spans="1:9" x14ac:dyDescent="0.3">
      <c r="A495" s="1" t="s">
        <v>16</v>
      </c>
      <c r="B495">
        <f t="shared" si="21"/>
        <v>0.53094600000000003</v>
      </c>
      <c r="C495">
        <v>530946</v>
      </c>
      <c r="D495">
        <v>43552.435202335</v>
      </c>
      <c r="E495">
        <f t="shared" si="22"/>
        <v>82027.993811677647</v>
      </c>
      <c r="F495">
        <v>18</v>
      </c>
      <c r="G495">
        <v>159648.08497200001</v>
      </c>
      <c r="H495">
        <v>6621.9740000000002</v>
      </c>
      <c r="I495">
        <f t="shared" si="23"/>
        <v>153026.11097200002</v>
      </c>
    </row>
    <row r="496" spans="1:9" x14ac:dyDescent="0.3">
      <c r="A496" s="1" t="s">
        <v>17</v>
      </c>
      <c r="B496">
        <f t="shared" si="21"/>
        <v>2.034319</v>
      </c>
      <c r="C496">
        <v>2034319</v>
      </c>
      <c r="D496">
        <v>19857.383597201999</v>
      </c>
      <c r="E496">
        <f t="shared" si="22"/>
        <v>9761.1945802020236</v>
      </c>
      <c r="F496">
        <v>18</v>
      </c>
      <c r="G496">
        <v>163767.68683200001</v>
      </c>
      <c r="H496">
        <v>66105.850000000006</v>
      </c>
      <c r="I496">
        <f t="shared" si="23"/>
        <v>97661.836832000001</v>
      </c>
    </row>
    <row r="497" spans="1:12" x14ac:dyDescent="0.3">
      <c r="A497" s="1" t="s">
        <v>18</v>
      </c>
      <c r="B497">
        <f t="shared" si="21"/>
        <v>0.42002800000000001</v>
      </c>
      <c r="C497">
        <v>420028</v>
      </c>
      <c r="D497">
        <v>7129.6024725842999</v>
      </c>
      <c r="E497">
        <f t="shared" si="22"/>
        <v>16974.112374851913</v>
      </c>
      <c r="F497">
        <v>18</v>
      </c>
      <c r="G497">
        <v>17062.633512</v>
      </c>
      <c r="H497">
        <v>442.7876</v>
      </c>
      <c r="I497">
        <f t="shared" si="23"/>
        <v>16619.845912000001</v>
      </c>
    </row>
    <row r="498" spans="1:12" x14ac:dyDescent="0.3">
      <c r="A498" s="1" t="s">
        <v>19</v>
      </c>
      <c r="B498">
        <f t="shared" si="21"/>
        <v>16.754961999999999</v>
      </c>
      <c r="C498">
        <v>16754962</v>
      </c>
      <c r="D498">
        <v>642413.95155044994</v>
      </c>
      <c r="E498">
        <f t="shared" si="22"/>
        <v>38341.713430949589</v>
      </c>
      <c r="F498">
        <v>18</v>
      </c>
      <c r="G498">
        <v>1964277.748224</v>
      </c>
      <c r="H498">
        <v>97473.33</v>
      </c>
      <c r="I498">
        <f t="shared" si="23"/>
        <v>1866804.4182239999</v>
      </c>
    </row>
    <row r="499" spans="1:12" x14ac:dyDescent="0.3">
      <c r="A499" s="1" t="s">
        <v>20</v>
      </c>
      <c r="B499">
        <f t="shared" si="21"/>
        <v>38.063164</v>
      </c>
      <c r="C499">
        <v>38063164</v>
      </c>
      <c r="D499">
        <v>1535760.7483313999</v>
      </c>
      <c r="E499">
        <f t="shared" si="22"/>
        <v>40347.690179707599</v>
      </c>
      <c r="F499">
        <v>18</v>
      </c>
      <c r="G499">
        <v>2632843.1381040001</v>
      </c>
      <c r="H499">
        <v>287378.59999999998</v>
      </c>
      <c r="I499">
        <f t="shared" si="23"/>
        <v>2345464.538104</v>
      </c>
    </row>
    <row r="500" spans="1:12" x14ac:dyDescent="0.3">
      <c r="A500" s="1" t="s">
        <v>21</v>
      </c>
      <c r="B500">
        <f t="shared" si="21"/>
        <v>10.514844</v>
      </c>
      <c r="C500">
        <v>10514844</v>
      </c>
      <c r="D500">
        <v>169400.55257801001</v>
      </c>
      <c r="E500">
        <f t="shared" si="22"/>
        <v>16110.610160075605</v>
      </c>
      <c r="F500">
        <v>18</v>
      </c>
      <c r="G500">
        <v>630972.36388800002</v>
      </c>
      <c r="H500">
        <v>161008</v>
      </c>
      <c r="I500">
        <f t="shared" si="23"/>
        <v>469964.36388800002</v>
      </c>
    </row>
    <row r="501" spans="1:12" x14ac:dyDescent="0.3">
      <c r="A501" s="1" t="s">
        <v>22</v>
      </c>
      <c r="B501">
        <f t="shared" si="21"/>
        <v>20.058035</v>
      </c>
      <c r="C501">
        <v>20058035</v>
      </c>
      <c r="D501">
        <v>549579.111286</v>
      </c>
      <c r="E501">
        <f t="shared" si="22"/>
        <v>27399.44921254749</v>
      </c>
      <c r="F501">
        <v>18</v>
      </c>
      <c r="G501">
        <v>938882.57310000004</v>
      </c>
      <c r="H501">
        <v>202338.2</v>
      </c>
      <c r="I501">
        <f t="shared" si="23"/>
        <v>736544.37309999997</v>
      </c>
    </row>
    <row r="502" spans="1:12" x14ac:dyDescent="0.3">
      <c r="A502" s="1" t="s">
        <v>23</v>
      </c>
      <c r="B502">
        <f t="shared" si="21"/>
        <v>9.5193739999999991</v>
      </c>
      <c r="C502">
        <v>9519374</v>
      </c>
      <c r="D502">
        <v>3666073.5088987998</v>
      </c>
      <c r="E502">
        <f t="shared" si="22"/>
        <v>385117.07901158207</v>
      </c>
      <c r="F502">
        <v>18</v>
      </c>
      <c r="G502">
        <v>204085.73347199999</v>
      </c>
      <c r="H502">
        <v>650364.5</v>
      </c>
      <c r="I502">
        <f t="shared" si="23"/>
        <v>-446278.76652800001</v>
      </c>
    </row>
    <row r="503" spans="1:12" x14ac:dyDescent="0.3">
      <c r="A503" s="1" t="s">
        <v>24</v>
      </c>
      <c r="B503">
        <f t="shared" si="21"/>
        <v>2.057159</v>
      </c>
      <c r="C503">
        <v>2057159</v>
      </c>
      <c r="D503">
        <v>35709.052197999998</v>
      </c>
      <c r="E503">
        <f t="shared" si="22"/>
        <v>17358.430825230327</v>
      </c>
      <c r="F503">
        <v>18</v>
      </c>
      <c r="G503">
        <v>387977.48384399997</v>
      </c>
      <c r="H503">
        <v>40214.33</v>
      </c>
      <c r="I503">
        <f t="shared" si="23"/>
        <v>347763.15384399996</v>
      </c>
    </row>
    <row r="504" spans="1:12" x14ac:dyDescent="0.3">
      <c r="A504" s="1" t="s">
        <v>25</v>
      </c>
      <c r="B504">
        <f t="shared" si="21"/>
        <v>5.4075790000000001</v>
      </c>
      <c r="C504">
        <v>5407579</v>
      </c>
      <c r="D504">
        <v>71253.369583856009</v>
      </c>
      <c r="E504">
        <f t="shared" si="22"/>
        <v>13176.574874607659</v>
      </c>
      <c r="F504">
        <v>18</v>
      </c>
      <c r="G504">
        <v>1302068.8418399999</v>
      </c>
      <c r="H504">
        <v>40631.269999999997</v>
      </c>
      <c r="I504">
        <f t="shared" si="23"/>
        <v>1261437.5718399999</v>
      </c>
    </row>
    <row r="505" spans="1:12" x14ac:dyDescent="0.3">
      <c r="A505" s="1" t="s">
        <v>26</v>
      </c>
      <c r="B505">
        <f t="shared" si="21"/>
        <v>63.700215</v>
      </c>
      <c r="C505">
        <v>63700215</v>
      </c>
      <c r="D505">
        <v>1940087</v>
      </c>
      <c r="E505">
        <f t="shared" si="22"/>
        <v>30456.522007029333</v>
      </c>
      <c r="F505">
        <v>18</v>
      </c>
      <c r="G505">
        <v>5128160.153868</v>
      </c>
      <c r="H505">
        <v>243652.1</v>
      </c>
      <c r="I505">
        <f t="shared" si="23"/>
        <v>4884508.0538680004</v>
      </c>
    </row>
    <row r="506" spans="1:12" x14ac:dyDescent="0.3">
      <c r="A506" s="5" t="s">
        <v>0</v>
      </c>
      <c r="B506">
        <f t="shared" si="21"/>
        <v>8.4299909999999993</v>
      </c>
      <c r="C506">
        <v>8429991</v>
      </c>
      <c r="D506">
        <v>306695.56448758004</v>
      </c>
      <c r="E506">
        <f t="shared" si="22"/>
        <v>36381.481841152628</v>
      </c>
      <c r="F506">
        <v>19</v>
      </c>
      <c r="G506">
        <v>1076750.96634</v>
      </c>
      <c r="H506">
        <v>373423.7</v>
      </c>
      <c r="I506">
        <f t="shared" si="23"/>
        <v>703327.26634000009</v>
      </c>
      <c r="K506" s="8"/>
      <c r="L506" s="8"/>
    </row>
    <row r="507" spans="1:12" x14ac:dyDescent="0.3">
      <c r="A507" s="1" t="s">
        <v>1</v>
      </c>
      <c r="B507">
        <f t="shared" si="21"/>
        <v>11.106932</v>
      </c>
      <c r="C507">
        <v>11106932</v>
      </c>
      <c r="D507">
        <v>373731.92989261</v>
      </c>
      <c r="E507">
        <f t="shared" si="22"/>
        <v>33648.52957527875</v>
      </c>
      <c r="F507">
        <v>19</v>
      </c>
      <c r="G507">
        <v>1428068.5781759999</v>
      </c>
      <c r="H507">
        <v>116093.9</v>
      </c>
      <c r="I507">
        <f t="shared" si="23"/>
        <v>1311974.678176</v>
      </c>
    </row>
    <row r="508" spans="1:12" x14ac:dyDescent="0.3">
      <c r="A508" s="1" t="s">
        <v>2</v>
      </c>
      <c r="B508">
        <f t="shared" si="21"/>
        <v>7.3058880000000004</v>
      </c>
      <c r="C508">
        <v>7305888</v>
      </c>
      <c r="D508">
        <v>76596.424762272989</v>
      </c>
      <c r="E508">
        <f t="shared" si="22"/>
        <v>10484.20462540255</v>
      </c>
      <c r="F508">
        <v>19</v>
      </c>
      <c r="G508">
        <v>361138.63046399999</v>
      </c>
      <c r="H508">
        <v>65572.009999999995</v>
      </c>
      <c r="I508">
        <f t="shared" si="23"/>
        <v>295566.62046399998</v>
      </c>
    </row>
    <row r="509" spans="1:12" x14ac:dyDescent="0.3">
      <c r="A509" s="1" t="s">
        <v>3</v>
      </c>
      <c r="B509">
        <f t="shared" si="21"/>
        <v>0.86394499999999996</v>
      </c>
      <c r="C509">
        <v>863945</v>
      </c>
      <c r="D509">
        <v>17583.141</v>
      </c>
      <c r="E509">
        <f t="shared" si="22"/>
        <v>20352.153204197028</v>
      </c>
      <c r="F509">
        <v>19</v>
      </c>
      <c r="G509">
        <v>56958.315768</v>
      </c>
      <c r="H509">
        <v>5408.7219999999998</v>
      </c>
      <c r="I509">
        <f t="shared" si="23"/>
        <v>51549.593767999999</v>
      </c>
    </row>
    <row r="510" spans="1:12" x14ac:dyDescent="0.3">
      <c r="A510" s="1" t="s">
        <v>4</v>
      </c>
      <c r="B510">
        <f t="shared" si="21"/>
        <v>10.510785</v>
      </c>
      <c r="C510">
        <v>10510785</v>
      </c>
      <c r="D510">
        <v>4029412.4017600999</v>
      </c>
      <c r="E510">
        <f t="shared" si="22"/>
        <v>383359.79679539631</v>
      </c>
      <c r="F510">
        <v>19</v>
      </c>
      <c r="G510">
        <v>967528.86803999997</v>
      </c>
      <c r="H510">
        <v>134716</v>
      </c>
      <c r="I510">
        <f t="shared" si="23"/>
        <v>832812.86803999997</v>
      </c>
    </row>
    <row r="511" spans="1:12" ht="24" x14ac:dyDescent="0.3">
      <c r="A511" s="2" t="s">
        <v>5</v>
      </c>
      <c r="B511">
        <f t="shared" si="21"/>
        <v>80.425822999999994</v>
      </c>
      <c r="C511">
        <v>80425823</v>
      </c>
      <c r="D511">
        <v>2687921.7097392003</v>
      </c>
      <c r="E511">
        <f t="shared" si="22"/>
        <v>33421.127810394937</v>
      </c>
      <c r="F511">
        <v>19</v>
      </c>
      <c r="G511">
        <v>8524131.7466519997</v>
      </c>
      <c r="H511">
        <v>1030489</v>
      </c>
      <c r="I511">
        <f t="shared" si="23"/>
        <v>7493642.7466519997</v>
      </c>
    </row>
    <row r="512" spans="1:12" x14ac:dyDescent="0.3">
      <c r="A512" s="1" t="s">
        <v>6</v>
      </c>
      <c r="B512">
        <f t="shared" si="21"/>
        <v>5.5915720000000002</v>
      </c>
      <c r="C512">
        <v>5591572</v>
      </c>
      <c r="D512">
        <v>1856457.075</v>
      </c>
      <c r="E512">
        <f t="shared" si="22"/>
        <v>332009.86681384052</v>
      </c>
      <c r="F512">
        <v>19</v>
      </c>
      <c r="G512">
        <v>553546.03896000003</v>
      </c>
      <c r="H512">
        <v>151355.20000000001</v>
      </c>
      <c r="I512">
        <f t="shared" si="23"/>
        <v>402190.83896000002</v>
      </c>
    </row>
    <row r="513" spans="1:9" x14ac:dyDescent="0.3">
      <c r="A513" s="1" t="s">
        <v>7</v>
      </c>
      <c r="B513">
        <f t="shared" si="21"/>
        <v>1.3226960000000001</v>
      </c>
      <c r="C513">
        <v>1322696</v>
      </c>
      <c r="D513">
        <v>16560.245003750999</v>
      </c>
      <c r="E513">
        <f t="shared" si="22"/>
        <v>12520.068862195847</v>
      </c>
      <c r="F513">
        <v>19</v>
      </c>
      <c r="G513">
        <v>119103.323112</v>
      </c>
      <c r="H513">
        <v>29150.83</v>
      </c>
      <c r="I513">
        <f t="shared" si="23"/>
        <v>89952.493111999996</v>
      </c>
    </row>
    <row r="514" spans="1:9" x14ac:dyDescent="0.3">
      <c r="A514" s="1" t="s">
        <v>8</v>
      </c>
      <c r="B514">
        <f t="shared" si="21"/>
        <v>11.045011000000001</v>
      </c>
      <c r="C514">
        <v>11045011</v>
      </c>
      <c r="D514">
        <v>182398.41963054001</v>
      </c>
      <c r="E514">
        <f t="shared" si="22"/>
        <v>16514.100314661526</v>
      </c>
      <c r="F514">
        <v>19</v>
      </c>
      <c r="G514">
        <v>611811.01314000005</v>
      </c>
      <c r="H514">
        <v>99687.37</v>
      </c>
      <c r="I514">
        <f t="shared" si="23"/>
        <v>512123.64314000006</v>
      </c>
    </row>
    <row r="515" spans="1:9" x14ac:dyDescent="0.3">
      <c r="A515" s="1" t="s">
        <v>31</v>
      </c>
      <c r="B515">
        <f t="shared" ref="B515:B578" si="24">C515/1000000</f>
        <v>46.773054999999999</v>
      </c>
      <c r="C515">
        <v>46773055</v>
      </c>
      <c r="D515">
        <v>1017665.2446939</v>
      </c>
      <c r="E515">
        <f t="shared" ref="E515:E578" si="25">D515/B515</f>
        <v>21757.51070127662</v>
      </c>
      <c r="F515">
        <v>19</v>
      </c>
      <c r="G515">
        <v>3184941.5490959999</v>
      </c>
      <c r="H515">
        <v>539846.5</v>
      </c>
      <c r="I515">
        <f t="shared" ref="I515:I578" si="26">G515-H515</f>
        <v>2645095.0490959999</v>
      </c>
    </row>
    <row r="516" spans="1:9" x14ac:dyDescent="0.3">
      <c r="A516" s="1" t="s">
        <v>9</v>
      </c>
      <c r="B516">
        <f t="shared" si="24"/>
        <v>5.4139710000000001</v>
      </c>
      <c r="C516">
        <v>5413971</v>
      </c>
      <c r="D516">
        <v>188524.4946981</v>
      </c>
      <c r="E516">
        <f t="shared" si="25"/>
        <v>34821.851594347288</v>
      </c>
      <c r="F516">
        <v>19</v>
      </c>
      <c r="G516">
        <v>989907.77458800003</v>
      </c>
      <c r="H516">
        <v>380913.6</v>
      </c>
      <c r="I516">
        <f t="shared" si="26"/>
        <v>608994.17458800005</v>
      </c>
    </row>
    <row r="517" spans="1:9" x14ac:dyDescent="0.3">
      <c r="A517" s="1" t="s">
        <v>10</v>
      </c>
      <c r="B517">
        <f t="shared" si="24"/>
        <v>65.438666999999995</v>
      </c>
      <c r="C517">
        <v>65438667</v>
      </c>
      <c r="D517">
        <v>2057212.9846826999</v>
      </c>
      <c r="E517">
        <f t="shared" si="25"/>
        <v>31437.269110061487</v>
      </c>
      <c r="F517">
        <v>19</v>
      </c>
      <c r="G517">
        <v>5997291.2669879999</v>
      </c>
      <c r="H517">
        <v>808277.4</v>
      </c>
      <c r="I517">
        <f t="shared" si="26"/>
        <v>5189013.8669879995</v>
      </c>
    </row>
    <row r="518" spans="1:9" x14ac:dyDescent="0.3">
      <c r="A518" s="1" t="s">
        <v>11</v>
      </c>
      <c r="B518">
        <f t="shared" si="24"/>
        <v>4.2690619999999999</v>
      </c>
      <c r="C518">
        <v>4269062</v>
      </c>
      <c r="D518">
        <v>323207.81675935996</v>
      </c>
      <c r="E518">
        <f t="shared" si="25"/>
        <v>75709.328362848784</v>
      </c>
      <c r="F518">
        <v>19</v>
      </c>
      <c r="G518">
        <v>269624.85397200001</v>
      </c>
      <c r="H518">
        <v>88538.09</v>
      </c>
      <c r="I518">
        <f t="shared" si="26"/>
        <v>181086.76397200002</v>
      </c>
    </row>
    <row r="519" spans="1:9" x14ac:dyDescent="0.3">
      <c r="A519" s="1" t="s">
        <v>12</v>
      </c>
      <c r="B519">
        <f t="shared" si="24"/>
        <v>9.9203620000000008</v>
      </c>
      <c r="C519">
        <v>9920362</v>
      </c>
      <c r="D519">
        <v>28155467.685403999</v>
      </c>
      <c r="E519">
        <f t="shared" si="25"/>
        <v>2838149.2213090607</v>
      </c>
      <c r="F519">
        <v>19</v>
      </c>
      <c r="G519">
        <v>682526.44195200002</v>
      </c>
      <c r="H519">
        <v>117369.9</v>
      </c>
      <c r="I519">
        <f t="shared" si="26"/>
        <v>565156.541952</v>
      </c>
    </row>
    <row r="520" spans="1:9" x14ac:dyDescent="0.3">
      <c r="A520" s="1" t="s">
        <v>13</v>
      </c>
      <c r="B520">
        <f t="shared" si="24"/>
        <v>4.5995330000000001</v>
      </c>
      <c r="C520">
        <v>4599533</v>
      </c>
      <c r="D520">
        <v>171204.88130960998</v>
      </c>
      <c r="E520">
        <f t="shared" si="25"/>
        <v>37222.231324269218</v>
      </c>
      <c r="F520">
        <v>19</v>
      </c>
      <c r="G520">
        <v>418537.14638400002</v>
      </c>
      <c r="H520">
        <v>30991.7</v>
      </c>
      <c r="I520">
        <f t="shared" si="26"/>
        <v>387545.44638400001</v>
      </c>
    </row>
    <row r="521" spans="1:9" x14ac:dyDescent="0.3">
      <c r="A521" s="1" t="s">
        <v>14</v>
      </c>
      <c r="B521">
        <f t="shared" si="24"/>
        <v>59.539717000000003</v>
      </c>
      <c r="C521">
        <v>59539717</v>
      </c>
      <c r="D521">
        <v>1545322.053693</v>
      </c>
      <c r="E521">
        <f t="shared" si="25"/>
        <v>25954.474282989955</v>
      </c>
      <c r="F521">
        <v>19</v>
      </c>
      <c r="G521">
        <v>4800898.3457159996</v>
      </c>
      <c r="H521">
        <v>783549.1</v>
      </c>
      <c r="I521">
        <f t="shared" si="26"/>
        <v>4017349.2457159995</v>
      </c>
    </row>
    <row r="522" spans="1:9" x14ac:dyDescent="0.3">
      <c r="A522" s="1" t="s">
        <v>15</v>
      </c>
      <c r="B522">
        <f t="shared" si="24"/>
        <v>2.9877729999999998</v>
      </c>
      <c r="C522">
        <v>2987773</v>
      </c>
      <c r="D522">
        <v>31965.345099061</v>
      </c>
      <c r="E522">
        <f t="shared" si="25"/>
        <v>10698.719447247498</v>
      </c>
      <c r="F522">
        <v>19</v>
      </c>
      <c r="G522">
        <v>196535.38395600001</v>
      </c>
      <c r="H522">
        <v>51772.36</v>
      </c>
      <c r="I522">
        <f t="shared" si="26"/>
        <v>144763.02395599999</v>
      </c>
    </row>
    <row r="523" spans="1:9" x14ac:dyDescent="0.3">
      <c r="A523" s="1" t="s">
        <v>16</v>
      </c>
      <c r="B523">
        <f t="shared" si="24"/>
        <v>0.53094600000000003</v>
      </c>
      <c r="C523">
        <v>530946</v>
      </c>
      <c r="D523">
        <v>44933.827204235997</v>
      </c>
      <c r="E523">
        <f t="shared" si="25"/>
        <v>84629.749926048971</v>
      </c>
      <c r="F523">
        <v>19</v>
      </c>
      <c r="G523">
        <v>157403.79269999999</v>
      </c>
      <c r="H523">
        <v>9008.5329999999994</v>
      </c>
      <c r="I523">
        <f t="shared" si="26"/>
        <v>148395.2597</v>
      </c>
    </row>
    <row r="524" spans="1:9" x14ac:dyDescent="0.3">
      <c r="A524" s="1" t="s">
        <v>17</v>
      </c>
      <c r="B524">
        <f t="shared" si="24"/>
        <v>2.034319</v>
      </c>
      <c r="C524">
        <v>2034319</v>
      </c>
      <c r="D524">
        <v>20256.664908281</v>
      </c>
      <c r="E524">
        <f t="shared" si="25"/>
        <v>9957.4672941072658</v>
      </c>
      <c r="F524">
        <v>19</v>
      </c>
      <c r="G524">
        <v>156374.46792</v>
      </c>
      <c r="H524">
        <v>61929.04</v>
      </c>
      <c r="I524">
        <f t="shared" si="26"/>
        <v>94445.427919999987</v>
      </c>
    </row>
    <row r="525" spans="1:9" x14ac:dyDescent="0.3">
      <c r="A525" s="1" t="s">
        <v>18</v>
      </c>
      <c r="B525">
        <f t="shared" si="24"/>
        <v>0.42002800000000001</v>
      </c>
      <c r="C525">
        <v>420028</v>
      </c>
      <c r="D525">
        <v>7519.8309910295002</v>
      </c>
      <c r="E525">
        <f t="shared" si="25"/>
        <v>17903.165958053985</v>
      </c>
      <c r="F525">
        <v>19</v>
      </c>
      <c r="G525">
        <v>17614.202544</v>
      </c>
      <c r="H525">
        <v>454.5403</v>
      </c>
      <c r="I525">
        <f t="shared" si="26"/>
        <v>17159.662243999999</v>
      </c>
    </row>
    <row r="526" spans="1:9" x14ac:dyDescent="0.3">
      <c r="A526" s="1" t="s">
        <v>19</v>
      </c>
      <c r="B526">
        <f t="shared" si="24"/>
        <v>16.754961999999999</v>
      </c>
      <c r="C526">
        <v>16754962</v>
      </c>
      <c r="D526">
        <v>641577.68770389003</v>
      </c>
      <c r="E526">
        <f t="shared" si="25"/>
        <v>38291.802016852685</v>
      </c>
      <c r="F526">
        <v>19</v>
      </c>
      <c r="G526">
        <v>1967402.9013479999</v>
      </c>
      <c r="H526">
        <v>98861.53</v>
      </c>
      <c r="I526">
        <f t="shared" si="26"/>
        <v>1868541.3713479999</v>
      </c>
    </row>
    <row r="527" spans="1:9" x14ac:dyDescent="0.3">
      <c r="A527" s="1" t="s">
        <v>20</v>
      </c>
      <c r="B527">
        <f t="shared" si="24"/>
        <v>38.063164</v>
      </c>
      <c r="C527">
        <v>38063164</v>
      </c>
      <c r="D527">
        <v>1553049.7805296001</v>
      </c>
      <c r="E527">
        <f t="shared" si="25"/>
        <v>40801.909702766701</v>
      </c>
      <c r="F527">
        <v>19</v>
      </c>
      <c r="G527">
        <v>2585227.2059880001</v>
      </c>
      <c r="H527">
        <v>295061.8</v>
      </c>
      <c r="I527">
        <f t="shared" si="26"/>
        <v>2290165.4059880003</v>
      </c>
    </row>
    <row r="528" spans="1:9" x14ac:dyDescent="0.3">
      <c r="A528" s="1" t="s">
        <v>21</v>
      </c>
      <c r="B528">
        <f t="shared" si="24"/>
        <v>10.514844</v>
      </c>
      <c r="C528">
        <v>10514844</v>
      </c>
      <c r="D528">
        <v>167837.58803724</v>
      </c>
      <c r="E528">
        <f t="shared" si="25"/>
        <v>15961.966533905781</v>
      </c>
      <c r="F528">
        <v>19</v>
      </c>
      <c r="G528">
        <v>622462.73475599999</v>
      </c>
      <c r="H528">
        <v>187809.8</v>
      </c>
      <c r="I528">
        <f t="shared" si="26"/>
        <v>434652.934756</v>
      </c>
    </row>
    <row r="529" spans="1:12" x14ac:dyDescent="0.3">
      <c r="A529" s="1" t="s">
        <v>22</v>
      </c>
      <c r="B529">
        <f t="shared" si="24"/>
        <v>20.058035</v>
      </c>
      <c r="C529">
        <v>20058035</v>
      </c>
      <c r="D529">
        <v>570303.51292300003</v>
      </c>
      <c r="E529">
        <f t="shared" si="25"/>
        <v>28432.671142661784</v>
      </c>
      <c r="F529">
        <v>19</v>
      </c>
      <c r="G529">
        <v>896228.75260799995</v>
      </c>
      <c r="H529">
        <v>206941.3</v>
      </c>
      <c r="I529">
        <f t="shared" si="26"/>
        <v>689287.45260800002</v>
      </c>
    </row>
    <row r="530" spans="1:12" x14ac:dyDescent="0.3">
      <c r="A530" s="1" t="s">
        <v>23</v>
      </c>
      <c r="B530">
        <f t="shared" si="24"/>
        <v>9.5193739999999991</v>
      </c>
      <c r="C530">
        <v>9519374</v>
      </c>
      <c r="D530">
        <v>3709618.2397647002</v>
      </c>
      <c r="E530">
        <f t="shared" si="25"/>
        <v>389691.40615388157</v>
      </c>
      <c r="F530">
        <v>19</v>
      </c>
      <c r="G530">
        <v>199589.44521599999</v>
      </c>
      <c r="H530">
        <v>619211.80000000005</v>
      </c>
      <c r="I530">
        <f t="shared" si="26"/>
        <v>-419622.35478400008</v>
      </c>
    </row>
    <row r="531" spans="1:12" x14ac:dyDescent="0.3">
      <c r="A531" s="1" t="s">
        <v>24</v>
      </c>
      <c r="B531">
        <f t="shared" si="24"/>
        <v>2.057159</v>
      </c>
      <c r="C531">
        <v>2057159</v>
      </c>
      <c r="D531">
        <v>35341.504621</v>
      </c>
      <c r="E531">
        <f t="shared" si="25"/>
        <v>17179.763266232701</v>
      </c>
      <c r="F531">
        <v>19</v>
      </c>
      <c r="G531">
        <v>398392.65126000001</v>
      </c>
      <c r="H531">
        <v>43920.92</v>
      </c>
      <c r="I531">
        <f t="shared" si="26"/>
        <v>354471.73126000003</v>
      </c>
    </row>
    <row r="532" spans="1:12" x14ac:dyDescent="0.3">
      <c r="A532" s="1" t="s">
        <v>25</v>
      </c>
      <c r="B532">
        <f t="shared" si="24"/>
        <v>5.4075790000000001</v>
      </c>
      <c r="C532">
        <v>5407579</v>
      </c>
      <c r="D532">
        <v>71719.911918555998</v>
      </c>
      <c r="E532">
        <f t="shared" si="25"/>
        <v>13262.850513798503</v>
      </c>
      <c r="F532">
        <v>19</v>
      </c>
      <c r="G532">
        <v>1268221.1596560001</v>
      </c>
      <c r="H532">
        <v>42541.89</v>
      </c>
      <c r="I532">
        <f t="shared" si="26"/>
        <v>1225679.2696560002</v>
      </c>
    </row>
    <row r="533" spans="1:12" x14ac:dyDescent="0.3">
      <c r="A533" s="1" t="s">
        <v>26</v>
      </c>
      <c r="B533">
        <f t="shared" si="24"/>
        <v>63.700215</v>
      </c>
      <c r="C533">
        <v>63700215</v>
      </c>
      <c r="D533">
        <v>1976755</v>
      </c>
      <c r="E533">
        <f t="shared" si="25"/>
        <v>31032.155856930782</v>
      </c>
      <c r="F533">
        <v>19</v>
      </c>
      <c r="G533">
        <v>5148987.3486000001</v>
      </c>
      <c r="H533">
        <v>309751.8</v>
      </c>
      <c r="I533">
        <f t="shared" si="26"/>
        <v>4839235.5486000003</v>
      </c>
    </row>
    <row r="534" spans="1:12" x14ac:dyDescent="0.3">
      <c r="A534" s="5" t="s">
        <v>0</v>
      </c>
      <c r="B534">
        <f t="shared" si="24"/>
        <v>8.5463559999999994</v>
      </c>
      <c r="C534">
        <v>8546356</v>
      </c>
      <c r="D534">
        <v>308723.65898417</v>
      </c>
      <c r="E534">
        <f t="shared" si="25"/>
        <v>36123.42605248015</v>
      </c>
      <c r="F534">
        <v>20</v>
      </c>
      <c r="G534">
        <v>1026838.993104</v>
      </c>
      <c r="H534">
        <v>363442.2</v>
      </c>
      <c r="I534">
        <f t="shared" si="26"/>
        <v>663396.79310399992</v>
      </c>
      <c r="K534" s="8"/>
      <c r="L534" s="8"/>
    </row>
    <row r="535" spans="1:12" x14ac:dyDescent="0.3">
      <c r="A535" s="1" t="s">
        <v>1</v>
      </c>
      <c r="B535">
        <f t="shared" si="24"/>
        <v>11.209057</v>
      </c>
      <c r="C535">
        <v>11209057</v>
      </c>
      <c r="D535">
        <v>379631.41227278003</v>
      </c>
      <c r="E535">
        <f t="shared" si="25"/>
        <v>33868.273867532305</v>
      </c>
      <c r="F535">
        <v>20</v>
      </c>
      <c r="G535">
        <v>1332216.94194</v>
      </c>
      <c r="H535">
        <v>120885.3</v>
      </c>
      <c r="I535">
        <f t="shared" si="26"/>
        <v>1211331.64194</v>
      </c>
    </row>
    <row r="536" spans="1:12" x14ac:dyDescent="0.3">
      <c r="A536" s="1" t="s">
        <v>2</v>
      </c>
      <c r="B536">
        <f t="shared" si="24"/>
        <v>7.2239380000000004</v>
      </c>
      <c r="C536">
        <v>7223938</v>
      </c>
      <c r="D536">
        <v>77337.011873183001</v>
      </c>
      <c r="E536">
        <f t="shared" si="25"/>
        <v>10705.658308969843</v>
      </c>
      <c r="F536">
        <v>20</v>
      </c>
      <c r="G536">
        <v>370644.84360000002</v>
      </c>
      <c r="H536">
        <v>62885.919999999998</v>
      </c>
      <c r="I536">
        <f t="shared" si="26"/>
        <v>307758.92360000004</v>
      </c>
    </row>
    <row r="537" spans="1:12" x14ac:dyDescent="0.3">
      <c r="A537" s="1" t="s">
        <v>3</v>
      </c>
      <c r="B537">
        <f t="shared" si="24"/>
        <v>0.85250400000000004</v>
      </c>
      <c r="C537">
        <v>852504</v>
      </c>
      <c r="D537">
        <v>17261.495999999999</v>
      </c>
      <c r="E537">
        <f t="shared" si="25"/>
        <v>20247.994144308999</v>
      </c>
      <c r="F537">
        <v>20</v>
      </c>
      <c r="G537">
        <v>57181.63968</v>
      </c>
      <c r="H537">
        <v>5354.0860000000002</v>
      </c>
      <c r="I537">
        <f t="shared" si="26"/>
        <v>51827.553679999997</v>
      </c>
    </row>
    <row r="538" spans="1:12" x14ac:dyDescent="0.3">
      <c r="A538" s="1" t="s">
        <v>4</v>
      </c>
      <c r="B538">
        <f t="shared" si="24"/>
        <v>10.525347</v>
      </c>
      <c r="C538">
        <v>10525347</v>
      </c>
      <c r="D538">
        <v>4120561.8564357003</v>
      </c>
      <c r="E538">
        <f t="shared" si="25"/>
        <v>391489.40708897298</v>
      </c>
      <c r="F538">
        <v>20</v>
      </c>
      <c r="G538">
        <v>937476.35258399998</v>
      </c>
      <c r="H538">
        <v>139034.70000000001</v>
      </c>
      <c r="I538">
        <f t="shared" si="26"/>
        <v>798441.65258400002</v>
      </c>
    </row>
    <row r="539" spans="1:12" ht="24" x14ac:dyDescent="0.3">
      <c r="A539" s="2" t="s">
        <v>5</v>
      </c>
      <c r="B539">
        <f t="shared" si="24"/>
        <v>80.982500000000002</v>
      </c>
      <c r="C539">
        <v>80982500</v>
      </c>
      <c r="D539">
        <v>2747312.5073164999</v>
      </c>
      <c r="E539">
        <f t="shared" si="25"/>
        <v>33924.76778707128</v>
      </c>
      <c r="F539">
        <v>20</v>
      </c>
      <c r="G539">
        <v>8130876.0059160003</v>
      </c>
      <c r="H539">
        <v>1087820</v>
      </c>
      <c r="I539">
        <f t="shared" si="26"/>
        <v>7043056.0059160003</v>
      </c>
    </row>
    <row r="540" spans="1:12" x14ac:dyDescent="0.3">
      <c r="A540" s="1" t="s">
        <v>6</v>
      </c>
      <c r="B540">
        <f t="shared" si="24"/>
        <v>5.6434749999999996</v>
      </c>
      <c r="C540">
        <v>5643475</v>
      </c>
      <c r="D540">
        <v>1886520.426</v>
      </c>
      <c r="E540">
        <f t="shared" si="25"/>
        <v>334283.47356903326</v>
      </c>
      <c r="F540">
        <v>20</v>
      </c>
      <c r="G540">
        <v>528100.05020399997</v>
      </c>
      <c r="H540">
        <v>159864.5</v>
      </c>
      <c r="I540">
        <f t="shared" si="26"/>
        <v>368235.55020399997</v>
      </c>
    </row>
    <row r="541" spans="1:12" x14ac:dyDescent="0.3">
      <c r="A541" s="1" t="s">
        <v>7</v>
      </c>
      <c r="B541">
        <f t="shared" si="24"/>
        <v>1.3145450000000001</v>
      </c>
      <c r="C541">
        <v>1314545</v>
      </c>
      <c r="D541">
        <v>17058.934086243</v>
      </c>
      <c r="E541">
        <f t="shared" si="25"/>
        <v>12977.063612309201</v>
      </c>
      <c r="F541">
        <v>20</v>
      </c>
      <c r="G541">
        <v>116300.762928</v>
      </c>
      <c r="H541">
        <v>29454.400000000001</v>
      </c>
      <c r="I541">
        <f t="shared" si="26"/>
        <v>86846.362927999988</v>
      </c>
    </row>
    <row r="542" spans="1:12" x14ac:dyDescent="0.3">
      <c r="A542" s="1" t="s">
        <v>8</v>
      </c>
      <c r="B542">
        <f t="shared" si="24"/>
        <v>10.892412999999999</v>
      </c>
      <c r="C542">
        <v>10892413</v>
      </c>
      <c r="D542">
        <v>183266.08083026999</v>
      </c>
      <c r="E542">
        <f t="shared" si="25"/>
        <v>16825.113115915636</v>
      </c>
      <c r="F542">
        <v>20</v>
      </c>
      <c r="G542">
        <v>617459.46688800002</v>
      </c>
      <c r="H542">
        <v>99323.25</v>
      </c>
      <c r="I542">
        <f t="shared" si="26"/>
        <v>518136.21688800002</v>
      </c>
    </row>
    <row r="543" spans="1:12" x14ac:dyDescent="0.3">
      <c r="A543" s="1" t="s">
        <v>31</v>
      </c>
      <c r="B543">
        <f t="shared" si="24"/>
        <v>46.480882000000001</v>
      </c>
      <c r="C543">
        <v>46480882</v>
      </c>
      <c r="D543">
        <v>1031748.794845</v>
      </c>
      <c r="E543">
        <f t="shared" si="25"/>
        <v>22197.272307461808</v>
      </c>
      <c r="F543">
        <v>20</v>
      </c>
      <c r="G543">
        <v>3120649.1738999998</v>
      </c>
      <c r="H543">
        <v>541486.80000000005</v>
      </c>
      <c r="I543">
        <f t="shared" si="26"/>
        <v>2579162.3739</v>
      </c>
    </row>
    <row r="544" spans="1:12" x14ac:dyDescent="0.3">
      <c r="A544" s="1" t="s">
        <v>9</v>
      </c>
      <c r="B544">
        <f t="shared" si="24"/>
        <v>5.4615119999999999</v>
      </c>
      <c r="C544">
        <v>5461512</v>
      </c>
      <c r="D544">
        <v>187836.55343923002</v>
      </c>
      <c r="E544">
        <f t="shared" si="25"/>
        <v>34392.775011614001</v>
      </c>
      <c r="F544">
        <v>20</v>
      </c>
      <c r="G544">
        <v>983154.92673599999</v>
      </c>
      <c r="H544">
        <v>405406.3</v>
      </c>
      <c r="I544">
        <f t="shared" si="26"/>
        <v>577748.62673599995</v>
      </c>
    </row>
    <row r="545" spans="1:9" x14ac:dyDescent="0.3">
      <c r="A545" s="1" t="s">
        <v>10</v>
      </c>
      <c r="B545">
        <f t="shared" si="24"/>
        <v>66.312066999999999</v>
      </c>
      <c r="C545">
        <v>66312067</v>
      </c>
      <c r="D545">
        <v>2076883.7064343998</v>
      </c>
      <c r="E545">
        <f t="shared" si="25"/>
        <v>31319.845699190766</v>
      </c>
      <c r="F545">
        <v>20</v>
      </c>
      <c r="G545">
        <v>5516930.7013680004</v>
      </c>
      <c r="H545">
        <v>736346.1</v>
      </c>
      <c r="I545">
        <f t="shared" si="26"/>
        <v>4780584.6013680007</v>
      </c>
    </row>
    <row r="546" spans="1:9" x14ac:dyDescent="0.3">
      <c r="A546" s="1" t="s">
        <v>11</v>
      </c>
      <c r="B546">
        <f t="shared" si="24"/>
        <v>4.2360629999999997</v>
      </c>
      <c r="C546">
        <v>4236063</v>
      </c>
      <c r="D546">
        <v>322089.68891028996</v>
      </c>
      <c r="E546">
        <f t="shared" si="25"/>
        <v>76035.150778043186</v>
      </c>
      <c r="F546">
        <v>20</v>
      </c>
      <c r="G546">
        <v>255775.79879999999</v>
      </c>
      <c r="H546">
        <v>86063.93</v>
      </c>
      <c r="I546">
        <f t="shared" si="26"/>
        <v>169711.8688</v>
      </c>
    </row>
    <row r="547" spans="1:9" x14ac:dyDescent="0.3">
      <c r="A547" s="1" t="s">
        <v>12</v>
      </c>
      <c r="B547">
        <f t="shared" si="24"/>
        <v>9.8664679999999993</v>
      </c>
      <c r="C547">
        <v>9866468</v>
      </c>
      <c r="D547">
        <v>29344677.364631999</v>
      </c>
      <c r="E547">
        <f t="shared" si="25"/>
        <v>2974182.5914432602</v>
      </c>
      <c r="F547">
        <v>20</v>
      </c>
      <c r="G547">
        <v>664831.85284800001</v>
      </c>
      <c r="H547">
        <v>104209.4</v>
      </c>
      <c r="I547">
        <f t="shared" si="26"/>
        <v>560622.45284799999</v>
      </c>
    </row>
    <row r="548" spans="1:9" x14ac:dyDescent="0.3">
      <c r="A548" s="1" t="s">
        <v>13</v>
      </c>
      <c r="B548">
        <f t="shared" si="24"/>
        <v>4.6577400000000004</v>
      </c>
      <c r="C548">
        <v>4657740</v>
      </c>
      <c r="D548">
        <v>186123.16079760998</v>
      </c>
      <c r="E548">
        <f t="shared" si="25"/>
        <v>39959.972174833711</v>
      </c>
      <c r="F548">
        <v>20</v>
      </c>
      <c r="G548">
        <v>415531.06585200003</v>
      </c>
      <c r="H548">
        <v>35406.03</v>
      </c>
      <c r="I548">
        <f t="shared" si="26"/>
        <v>380125.035852</v>
      </c>
    </row>
    <row r="549" spans="1:9" x14ac:dyDescent="0.3">
      <c r="A549" s="1" t="s">
        <v>14</v>
      </c>
      <c r="B549">
        <f t="shared" si="24"/>
        <v>60.789140000000003</v>
      </c>
      <c r="C549">
        <v>60789140</v>
      </c>
      <c r="D549">
        <v>1545251.7795180001</v>
      </c>
      <c r="E549">
        <f t="shared" si="25"/>
        <v>25419.865777308249</v>
      </c>
      <c r="F549">
        <v>20</v>
      </c>
      <c r="G549">
        <v>4579683.8272919999</v>
      </c>
      <c r="H549">
        <v>782684.4</v>
      </c>
      <c r="I549">
        <f t="shared" si="26"/>
        <v>3796999.427292</v>
      </c>
    </row>
    <row r="550" spans="1:9" x14ac:dyDescent="0.3">
      <c r="A550" s="1" t="s">
        <v>15</v>
      </c>
      <c r="B550">
        <f t="shared" si="24"/>
        <v>2.9323670000000002</v>
      </c>
      <c r="C550">
        <v>2932367</v>
      </c>
      <c r="D550">
        <v>33095.963220573001</v>
      </c>
      <c r="E550">
        <f t="shared" si="25"/>
        <v>11286.43284437896</v>
      </c>
      <c r="F550">
        <v>20</v>
      </c>
      <c r="G550">
        <v>200349.80996399999</v>
      </c>
      <c r="H550">
        <v>55507.02</v>
      </c>
      <c r="I550">
        <f t="shared" si="26"/>
        <v>144842.789964</v>
      </c>
    </row>
    <row r="551" spans="1:9" x14ac:dyDescent="0.3">
      <c r="A551" s="1" t="s">
        <v>16</v>
      </c>
      <c r="B551">
        <f t="shared" si="24"/>
        <v>0.55631900000000001</v>
      </c>
      <c r="C551">
        <v>556319</v>
      </c>
      <c r="D551">
        <v>46112.480141981003</v>
      </c>
      <c r="E551">
        <f t="shared" si="25"/>
        <v>82888.558798065496</v>
      </c>
      <c r="F551">
        <v>20</v>
      </c>
      <c r="G551">
        <v>151031.23189200001</v>
      </c>
      <c r="H551">
        <v>10395.83</v>
      </c>
      <c r="I551">
        <f t="shared" si="26"/>
        <v>140635.40189200002</v>
      </c>
    </row>
    <row r="552" spans="1:9" x14ac:dyDescent="0.3">
      <c r="A552" s="1" t="s">
        <v>17</v>
      </c>
      <c r="B552">
        <f t="shared" si="24"/>
        <v>1.9937819999999999</v>
      </c>
      <c r="C552">
        <v>1993782</v>
      </c>
      <c r="D552">
        <v>20641.561037108</v>
      </c>
      <c r="E552">
        <f t="shared" si="25"/>
        <v>10352.967895741862</v>
      </c>
      <c r="F552">
        <v>20</v>
      </c>
      <c r="G552">
        <v>158237.80325999999</v>
      </c>
      <c r="H552">
        <v>63668.66</v>
      </c>
      <c r="I552">
        <f t="shared" si="26"/>
        <v>94569.143259999983</v>
      </c>
    </row>
    <row r="553" spans="1:9" x14ac:dyDescent="0.3">
      <c r="A553" s="1" t="s">
        <v>18</v>
      </c>
      <c r="B553">
        <f t="shared" si="24"/>
        <v>0.434558</v>
      </c>
      <c r="C553">
        <v>434558</v>
      </c>
      <c r="D553">
        <v>8093.8601825234</v>
      </c>
      <c r="E553">
        <f t="shared" si="25"/>
        <v>18625.500353286327</v>
      </c>
      <c r="F553">
        <v>20</v>
      </c>
      <c r="G553">
        <v>18192.902040000001</v>
      </c>
      <c r="H553">
        <v>714.99940000000004</v>
      </c>
      <c r="I553">
        <f t="shared" si="26"/>
        <v>17477.90264</v>
      </c>
    </row>
    <row r="554" spans="1:9" x14ac:dyDescent="0.3">
      <c r="A554" s="1" t="s">
        <v>19</v>
      </c>
      <c r="B554">
        <f t="shared" si="24"/>
        <v>16.865008</v>
      </c>
      <c r="C554">
        <v>16865008</v>
      </c>
      <c r="D554">
        <v>650709.87503641006</v>
      </c>
      <c r="E554">
        <f t="shared" si="25"/>
        <v>38583.431151435565</v>
      </c>
      <c r="F554">
        <v>20</v>
      </c>
      <c r="G554">
        <v>1783025.3984399999</v>
      </c>
      <c r="H554">
        <v>100912.6</v>
      </c>
      <c r="I554">
        <f t="shared" si="26"/>
        <v>1682112.7984399998</v>
      </c>
    </row>
    <row r="555" spans="1:9" x14ac:dyDescent="0.3">
      <c r="A555" s="1" t="s">
        <v>20</v>
      </c>
      <c r="B555">
        <f t="shared" si="24"/>
        <v>38.011735000000002</v>
      </c>
      <c r="C555">
        <v>38011735</v>
      </c>
      <c r="D555">
        <v>1605520.8364366002</v>
      </c>
      <c r="E555">
        <f t="shared" si="25"/>
        <v>42237.504718913784</v>
      </c>
      <c r="F555">
        <v>20</v>
      </c>
      <c r="G555">
        <v>2509590.9892679998</v>
      </c>
      <c r="H555">
        <v>290342.5</v>
      </c>
      <c r="I555">
        <f t="shared" si="26"/>
        <v>2219248.4892679998</v>
      </c>
    </row>
    <row r="556" spans="1:9" x14ac:dyDescent="0.3">
      <c r="A556" s="1" t="s">
        <v>21</v>
      </c>
      <c r="B556">
        <f t="shared" si="24"/>
        <v>10.401062</v>
      </c>
      <c r="C556">
        <v>10401062</v>
      </c>
      <c r="D556">
        <v>169167.18052267001</v>
      </c>
      <c r="E556">
        <f t="shared" si="25"/>
        <v>16264.414203344813</v>
      </c>
      <c r="F556">
        <v>20</v>
      </c>
      <c r="G556">
        <v>617562.62964000006</v>
      </c>
      <c r="H556">
        <v>188091.1</v>
      </c>
      <c r="I556">
        <f t="shared" si="26"/>
        <v>429471.52964000008</v>
      </c>
    </row>
    <row r="557" spans="1:9" x14ac:dyDescent="0.3">
      <c r="A557" s="1" t="s">
        <v>22</v>
      </c>
      <c r="B557">
        <f t="shared" si="24"/>
        <v>19.908978999999999</v>
      </c>
      <c r="C557">
        <v>19908979</v>
      </c>
      <c r="D557">
        <v>590884.25069599994</v>
      </c>
      <c r="E557">
        <f t="shared" si="25"/>
        <v>29679.284442260952</v>
      </c>
      <c r="F557">
        <v>20</v>
      </c>
      <c r="G557">
        <v>890117.40625200002</v>
      </c>
      <c r="H557">
        <v>216582.3</v>
      </c>
      <c r="I557">
        <f t="shared" si="26"/>
        <v>673535.10625199997</v>
      </c>
    </row>
    <row r="558" spans="1:9" x14ac:dyDescent="0.3">
      <c r="A558" s="1" t="s">
        <v>23</v>
      </c>
      <c r="B558">
        <f t="shared" si="24"/>
        <v>9.6961099999999991</v>
      </c>
      <c r="C558">
        <v>9696110</v>
      </c>
      <c r="D558">
        <v>3808212.4093619999</v>
      </c>
      <c r="E558">
        <f t="shared" si="25"/>
        <v>392756.72505386185</v>
      </c>
      <c r="F558">
        <v>20</v>
      </c>
      <c r="G558">
        <v>191111.92884000001</v>
      </c>
      <c r="H558">
        <v>622659.80000000005</v>
      </c>
      <c r="I558">
        <f t="shared" si="26"/>
        <v>-431547.87116000004</v>
      </c>
    </row>
    <row r="559" spans="1:9" x14ac:dyDescent="0.3">
      <c r="A559" s="1" t="s">
        <v>24</v>
      </c>
      <c r="B559">
        <f t="shared" si="24"/>
        <v>2.0619800000000001</v>
      </c>
      <c r="C559">
        <v>2061980</v>
      </c>
      <c r="D559">
        <v>36319.813348000003</v>
      </c>
      <c r="E559">
        <f t="shared" si="25"/>
        <v>17614.047346724994</v>
      </c>
      <c r="F559">
        <v>20</v>
      </c>
      <c r="G559">
        <v>369226.23015600001</v>
      </c>
      <c r="H559">
        <v>42618.89</v>
      </c>
      <c r="I559">
        <f t="shared" si="26"/>
        <v>326607.34015599999</v>
      </c>
    </row>
    <row r="560" spans="1:9" x14ac:dyDescent="0.3">
      <c r="A560" s="1" t="s">
        <v>25</v>
      </c>
      <c r="B560">
        <f t="shared" si="24"/>
        <v>5.4186490000000003</v>
      </c>
      <c r="C560">
        <v>5418649</v>
      </c>
      <c r="D560">
        <v>73673.830420749</v>
      </c>
      <c r="E560">
        <f t="shared" si="25"/>
        <v>13596.346694674077</v>
      </c>
      <c r="F560">
        <v>20</v>
      </c>
      <c r="G560">
        <v>1253002.6440719999</v>
      </c>
      <c r="H560">
        <v>45203.45</v>
      </c>
      <c r="I560">
        <f t="shared" si="26"/>
        <v>1207799.194072</v>
      </c>
    </row>
    <row r="561" spans="1:12" x14ac:dyDescent="0.3">
      <c r="A561" s="1" t="s">
        <v>26</v>
      </c>
      <c r="B561">
        <f t="shared" si="24"/>
        <v>64.602298000000005</v>
      </c>
      <c r="C561">
        <v>64602298</v>
      </c>
      <c r="D561">
        <v>2035883</v>
      </c>
      <c r="E561">
        <f t="shared" si="25"/>
        <v>31514.095675048586</v>
      </c>
      <c r="F561">
        <v>20</v>
      </c>
      <c r="G561">
        <v>4851580.8576239999</v>
      </c>
      <c r="H561">
        <v>358785.1</v>
      </c>
      <c r="I561">
        <f t="shared" si="26"/>
        <v>4492795.7576240003</v>
      </c>
    </row>
    <row r="562" spans="1:12" x14ac:dyDescent="0.3">
      <c r="A562" s="5" t="s">
        <v>0</v>
      </c>
      <c r="B562">
        <f t="shared" si="24"/>
        <v>8.6426990000000004</v>
      </c>
      <c r="C562">
        <v>8642699</v>
      </c>
      <c r="D562">
        <v>311855.66540062998</v>
      </c>
      <c r="E562">
        <f t="shared" si="25"/>
        <v>36083.133914605838</v>
      </c>
      <c r="F562">
        <v>21</v>
      </c>
      <c r="G562">
        <v>1053513.2633760001</v>
      </c>
      <c r="H562">
        <v>362355.8</v>
      </c>
      <c r="I562">
        <f t="shared" si="26"/>
        <v>691157.46337600006</v>
      </c>
      <c r="K562" s="8"/>
      <c r="L562" s="8"/>
    </row>
    <row r="563" spans="1:12" x14ac:dyDescent="0.3">
      <c r="A563" s="1" t="s">
        <v>1</v>
      </c>
      <c r="B563">
        <f t="shared" si="24"/>
        <v>11.274196</v>
      </c>
      <c r="C563">
        <v>11274196</v>
      </c>
      <c r="D563">
        <v>387381.43194038002</v>
      </c>
      <c r="E563">
        <f t="shared" si="25"/>
        <v>34360.005089531885</v>
      </c>
      <c r="F563">
        <v>21</v>
      </c>
      <c r="G563">
        <v>1394807.801616</v>
      </c>
      <c r="H563">
        <v>128345.2</v>
      </c>
      <c r="I563">
        <f t="shared" si="26"/>
        <v>1266462.6016160001</v>
      </c>
      <c r="K563" s="7"/>
      <c r="L563" s="7"/>
    </row>
    <row r="564" spans="1:12" x14ac:dyDescent="0.3">
      <c r="A564" s="1" t="s">
        <v>2</v>
      </c>
      <c r="B564">
        <f t="shared" si="24"/>
        <v>7.1779909999999996</v>
      </c>
      <c r="C564">
        <v>7177991</v>
      </c>
      <c r="D564">
        <v>79988.167108672002</v>
      </c>
      <c r="E564">
        <f t="shared" si="25"/>
        <v>11143.531262253186</v>
      </c>
      <c r="F564">
        <v>21</v>
      </c>
      <c r="G564">
        <v>391131.19094399997</v>
      </c>
      <c r="H564">
        <v>69034.960000000006</v>
      </c>
      <c r="I564">
        <f t="shared" si="26"/>
        <v>322096.23094399995</v>
      </c>
    </row>
    <row r="565" spans="1:12" x14ac:dyDescent="0.3">
      <c r="A565" s="1" t="s">
        <v>3</v>
      </c>
      <c r="B565">
        <f t="shared" si="24"/>
        <v>0.84766399999999997</v>
      </c>
      <c r="C565">
        <v>847664</v>
      </c>
      <c r="D565">
        <v>17845.460999999999</v>
      </c>
      <c r="E565">
        <f t="shared" si="25"/>
        <v>21052.517270994169</v>
      </c>
      <c r="F565">
        <v>21</v>
      </c>
      <c r="G565">
        <v>58918.659264000002</v>
      </c>
      <c r="H565">
        <v>5857.732</v>
      </c>
      <c r="I565">
        <f t="shared" si="26"/>
        <v>53060.927263999998</v>
      </c>
    </row>
    <row r="566" spans="1:12" x14ac:dyDescent="0.3">
      <c r="A566" s="1" t="s">
        <v>4</v>
      </c>
      <c r="B566">
        <f t="shared" si="24"/>
        <v>10.546059</v>
      </c>
      <c r="C566">
        <v>10546059</v>
      </c>
      <c r="D566">
        <v>4342593.4219321003</v>
      </c>
      <c r="E566">
        <f t="shared" si="25"/>
        <v>411774.04961721727</v>
      </c>
      <c r="F566">
        <v>21</v>
      </c>
      <c r="G566">
        <v>962826.33801599999</v>
      </c>
      <c r="H566">
        <v>142773.29999999999</v>
      </c>
      <c r="I566">
        <f t="shared" si="26"/>
        <v>820053.03801600006</v>
      </c>
    </row>
    <row r="567" spans="1:12" ht="24" x14ac:dyDescent="0.3">
      <c r="A567" s="2" t="s">
        <v>5</v>
      </c>
      <c r="B567">
        <f t="shared" si="24"/>
        <v>81.686610999999999</v>
      </c>
      <c r="C567">
        <v>81686611</v>
      </c>
      <c r="D567">
        <v>2788300.5287751001</v>
      </c>
      <c r="E567">
        <f t="shared" si="25"/>
        <v>34134.119345153151</v>
      </c>
      <c r="F567">
        <v>21</v>
      </c>
      <c r="G567">
        <v>8327614.784616</v>
      </c>
      <c r="H567">
        <v>1183042</v>
      </c>
      <c r="I567">
        <f t="shared" si="26"/>
        <v>7144572.784616</v>
      </c>
    </row>
    <row r="568" spans="1:12" x14ac:dyDescent="0.3">
      <c r="A568" s="1" t="s">
        <v>6</v>
      </c>
      <c r="B568">
        <f t="shared" si="24"/>
        <v>5.6834829999999998</v>
      </c>
      <c r="C568">
        <v>5683483</v>
      </c>
      <c r="D568">
        <v>1930713.8859999999</v>
      </c>
      <c r="E568">
        <f t="shared" si="25"/>
        <v>339706.10732890374</v>
      </c>
      <c r="F568">
        <v>21</v>
      </c>
      <c r="G568">
        <v>546907.70008800004</v>
      </c>
      <c r="H568">
        <v>181410.8</v>
      </c>
      <c r="I568">
        <f t="shared" si="26"/>
        <v>365496.90008800005</v>
      </c>
    </row>
    <row r="569" spans="1:12" x14ac:dyDescent="0.3">
      <c r="A569" s="1" t="s">
        <v>7</v>
      </c>
      <c r="B569">
        <f t="shared" si="24"/>
        <v>1.315407</v>
      </c>
      <c r="C569">
        <v>1315407</v>
      </c>
      <c r="D569">
        <v>17375.039473449</v>
      </c>
      <c r="E569">
        <f t="shared" si="25"/>
        <v>13208.869554023204</v>
      </c>
      <c r="F569">
        <v>21</v>
      </c>
      <c r="G569">
        <v>114898.93855200001</v>
      </c>
      <c r="H569">
        <v>31570.59</v>
      </c>
      <c r="I569">
        <f t="shared" si="26"/>
        <v>83328.34855200001</v>
      </c>
    </row>
    <row r="570" spans="1:12" x14ac:dyDescent="0.3">
      <c r="A570" s="1" t="s">
        <v>8</v>
      </c>
      <c r="B570">
        <f t="shared" si="24"/>
        <v>10.820883</v>
      </c>
      <c r="C570">
        <v>10820883</v>
      </c>
      <c r="D570">
        <v>182906.71896029002</v>
      </c>
      <c r="E570">
        <f t="shared" si="25"/>
        <v>16903.12324422046</v>
      </c>
      <c r="F570">
        <v>21</v>
      </c>
      <c r="G570">
        <v>656633.00988000003</v>
      </c>
      <c r="H570">
        <v>112744.2</v>
      </c>
      <c r="I570">
        <f t="shared" si="26"/>
        <v>543888.80988000007</v>
      </c>
    </row>
    <row r="571" spans="1:12" x14ac:dyDescent="0.3">
      <c r="A571" s="1" t="s">
        <v>31</v>
      </c>
      <c r="B571">
        <f t="shared" si="24"/>
        <v>46.444831999999998</v>
      </c>
      <c r="C571">
        <v>46444832</v>
      </c>
      <c r="D571">
        <v>1071318.1425483001</v>
      </c>
      <c r="E571">
        <f t="shared" si="25"/>
        <v>23066.466093542982</v>
      </c>
      <c r="F571">
        <v>21</v>
      </c>
      <c r="G571">
        <v>3159454.3622280001</v>
      </c>
      <c r="H571">
        <v>513540.8</v>
      </c>
      <c r="I571">
        <f t="shared" si="26"/>
        <v>2645913.5622280003</v>
      </c>
    </row>
    <row r="572" spans="1:12" x14ac:dyDescent="0.3">
      <c r="A572" s="1" t="s">
        <v>9</v>
      </c>
      <c r="B572">
        <f t="shared" si="24"/>
        <v>5.4795309999999997</v>
      </c>
      <c r="C572">
        <v>5479531</v>
      </c>
      <c r="D572">
        <v>188857.74416505999</v>
      </c>
      <c r="E572">
        <f t="shared" si="25"/>
        <v>34466.041740627072</v>
      </c>
      <c r="F572">
        <v>21</v>
      </c>
      <c r="G572">
        <v>967638.85527599999</v>
      </c>
      <c r="H572">
        <v>418361.2</v>
      </c>
      <c r="I572">
        <f t="shared" si="26"/>
        <v>549277.65527600003</v>
      </c>
    </row>
    <row r="573" spans="1:12" x14ac:dyDescent="0.3">
      <c r="A573" s="1" t="s">
        <v>10</v>
      </c>
      <c r="B573">
        <f t="shared" si="24"/>
        <v>66.548271999999997</v>
      </c>
      <c r="C573">
        <v>66548272</v>
      </c>
      <c r="D573">
        <v>2099997.6015237002</v>
      </c>
      <c r="E573">
        <f t="shared" si="25"/>
        <v>31556.004963189731</v>
      </c>
      <c r="F573">
        <v>21</v>
      </c>
      <c r="G573">
        <v>5632162.5742560001</v>
      </c>
      <c r="H573">
        <v>760300.4</v>
      </c>
      <c r="I573">
        <f t="shared" si="26"/>
        <v>4871862.1742559997</v>
      </c>
    </row>
    <row r="574" spans="1:12" x14ac:dyDescent="0.3">
      <c r="A574" s="1" t="s">
        <v>11</v>
      </c>
      <c r="B574">
        <f t="shared" si="24"/>
        <v>4.2079930000000001</v>
      </c>
      <c r="C574">
        <v>4207993</v>
      </c>
      <c r="D574">
        <v>330224.67088973999</v>
      </c>
      <c r="E574">
        <f t="shared" si="25"/>
        <v>78475.575147045151</v>
      </c>
      <c r="F574">
        <v>21</v>
      </c>
      <c r="G574">
        <v>270439.60525199998</v>
      </c>
      <c r="H574">
        <v>89589.79</v>
      </c>
      <c r="I574">
        <f t="shared" si="26"/>
        <v>180849.815252</v>
      </c>
    </row>
    <row r="575" spans="1:12" x14ac:dyDescent="0.3">
      <c r="A575" s="1" t="s">
        <v>12</v>
      </c>
      <c r="B575">
        <f t="shared" si="24"/>
        <v>9.8430280000000003</v>
      </c>
      <c r="C575">
        <v>9843028</v>
      </c>
      <c r="D575">
        <v>30431387.044767</v>
      </c>
      <c r="E575">
        <f t="shared" si="25"/>
        <v>3091669.2551079807</v>
      </c>
      <c r="F575">
        <v>21</v>
      </c>
      <c r="G575">
        <v>707440.95831599995</v>
      </c>
      <c r="H575">
        <v>110073.3</v>
      </c>
      <c r="I575">
        <f t="shared" si="26"/>
        <v>597367.6583159999</v>
      </c>
    </row>
    <row r="576" spans="1:12" x14ac:dyDescent="0.3">
      <c r="A576" s="1" t="s">
        <v>13</v>
      </c>
      <c r="B576">
        <f t="shared" si="24"/>
        <v>4.7019570000000002</v>
      </c>
      <c r="C576">
        <v>4701957</v>
      </c>
      <c r="D576">
        <v>232981.98759413001</v>
      </c>
      <c r="E576">
        <f t="shared" si="25"/>
        <v>49550.003880114178</v>
      </c>
      <c r="F576">
        <v>21</v>
      </c>
      <c r="G576">
        <v>430018.10560800001</v>
      </c>
      <c r="H576">
        <v>39051.660000000003</v>
      </c>
      <c r="I576">
        <f t="shared" si="26"/>
        <v>390966.44560800004</v>
      </c>
    </row>
    <row r="577" spans="1:12" x14ac:dyDescent="0.3">
      <c r="A577" s="1" t="s">
        <v>14</v>
      </c>
      <c r="B577">
        <f t="shared" si="24"/>
        <v>60.730581999999998</v>
      </c>
      <c r="C577">
        <v>60730582</v>
      </c>
      <c r="D577">
        <v>1557278.5413474999</v>
      </c>
      <c r="E577">
        <f t="shared" si="25"/>
        <v>25642.41095775272</v>
      </c>
      <c r="F577">
        <v>21</v>
      </c>
      <c r="G577">
        <v>4714561.6311600003</v>
      </c>
      <c r="H577">
        <v>778697.1</v>
      </c>
      <c r="I577">
        <f t="shared" si="26"/>
        <v>3935864.5311600002</v>
      </c>
    </row>
    <row r="578" spans="1:12" x14ac:dyDescent="0.3">
      <c r="A578" s="1" t="s">
        <v>15</v>
      </c>
      <c r="B578">
        <f t="shared" si="24"/>
        <v>2.9049100000000001</v>
      </c>
      <c r="C578">
        <v>2904910</v>
      </c>
      <c r="D578">
        <v>33766.018697277999</v>
      </c>
      <c r="E578">
        <f t="shared" si="25"/>
        <v>11623.774470561222</v>
      </c>
      <c r="F578">
        <v>21</v>
      </c>
      <c r="G578">
        <v>199779.98648399999</v>
      </c>
      <c r="H578">
        <v>57858.64</v>
      </c>
      <c r="I578">
        <f t="shared" si="26"/>
        <v>141921.34648399998</v>
      </c>
    </row>
    <row r="579" spans="1:12" x14ac:dyDescent="0.3">
      <c r="A579" s="1" t="s">
        <v>16</v>
      </c>
      <c r="B579">
        <f t="shared" ref="B579:B642" si="27">C579/1000000</f>
        <v>0.569604</v>
      </c>
      <c r="C579">
        <v>569604</v>
      </c>
      <c r="D579">
        <v>47159.134061522003</v>
      </c>
      <c r="E579">
        <f t="shared" ref="E579:E642" si="28">D579/B579</f>
        <v>82792.842152656944</v>
      </c>
      <c r="F579">
        <v>21</v>
      </c>
      <c r="G579">
        <v>148287.28690800001</v>
      </c>
      <c r="H579">
        <v>13392.29</v>
      </c>
      <c r="I579">
        <f t="shared" ref="I579:I589" si="29">G579-H579</f>
        <v>134894.996908</v>
      </c>
    </row>
    <row r="580" spans="1:12" x14ac:dyDescent="0.3">
      <c r="A580" s="1" t="s">
        <v>17</v>
      </c>
      <c r="B580">
        <f t="shared" si="27"/>
        <v>1.977527</v>
      </c>
      <c r="C580">
        <v>1977527</v>
      </c>
      <c r="D580">
        <v>21443.491313858001</v>
      </c>
      <c r="E580">
        <f t="shared" si="28"/>
        <v>10843.589652054308</v>
      </c>
      <c r="F580">
        <v>21</v>
      </c>
      <c r="G580">
        <v>154231.412472</v>
      </c>
      <c r="H580">
        <v>58759.11</v>
      </c>
      <c r="I580">
        <f t="shared" si="29"/>
        <v>95472.302471999996</v>
      </c>
    </row>
    <row r="581" spans="1:12" x14ac:dyDescent="0.3">
      <c r="A581" s="1" t="s">
        <v>18</v>
      </c>
      <c r="B581">
        <f t="shared" si="27"/>
        <v>0.44505299999999998</v>
      </c>
      <c r="C581">
        <v>445053</v>
      </c>
      <c r="D581">
        <v>8871.5289803058004</v>
      </c>
      <c r="E581">
        <f t="shared" si="28"/>
        <v>19933.646060819276</v>
      </c>
      <c r="F581">
        <v>21</v>
      </c>
      <c r="G581">
        <v>19161.30888</v>
      </c>
      <c r="H581">
        <v>1026.0889999999999</v>
      </c>
      <c r="I581">
        <f t="shared" si="29"/>
        <v>18135.219880000001</v>
      </c>
    </row>
    <row r="582" spans="1:12" x14ac:dyDescent="0.3">
      <c r="A582" s="1" t="s">
        <v>19</v>
      </c>
      <c r="B582">
        <f t="shared" si="27"/>
        <v>16.939923</v>
      </c>
      <c r="C582">
        <v>16939923</v>
      </c>
      <c r="D582">
        <v>663458.38570652006</v>
      </c>
      <c r="E582">
        <f t="shared" si="28"/>
        <v>39165.371985841972</v>
      </c>
      <c r="F582">
        <v>21</v>
      </c>
      <c r="G582">
        <v>1823259.583476</v>
      </c>
      <c r="H582">
        <v>107380.2</v>
      </c>
      <c r="I582">
        <f t="shared" si="29"/>
        <v>1715879.383476</v>
      </c>
    </row>
    <row r="583" spans="1:12" x14ac:dyDescent="0.3">
      <c r="A583" s="1" t="s">
        <v>20</v>
      </c>
      <c r="B583">
        <f t="shared" si="27"/>
        <v>37.986412000000001</v>
      </c>
      <c r="C583">
        <v>37986412</v>
      </c>
      <c r="D583">
        <v>1673535.9467125</v>
      </c>
      <c r="E583">
        <f t="shared" si="28"/>
        <v>44056.173210370587</v>
      </c>
      <c r="F583">
        <v>21</v>
      </c>
      <c r="G583">
        <v>2537766.0180000002</v>
      </c>
      <c r="H583">
        <v>302285.7</v>
      </c>
      <c r="I583">
        <f t="shared" si="29"/>
        <v>2235480.318</v>
      </c>
    </row>
    <row r="584" spans="1:12" x14ac:dyDescent="0.3">
      <c r="A584" s="1" t="s">
        <v>21</v>
      </c>
      <c r="B584">
        <f t="shared" si="27"/>
        <v>10.358076000000001</v>
      </c>
      <c r="C584">
        <v>10358076</v>
      </c>
      <c r="D584">
        <v>172198.73473893999</v>
      </c>
      <c r="E584">
        <f t="shared" si="28"/>
        <v>16624.586915459975</v>
      </c>
      <c r="F584">
        <v>21</v>
      </c>
      <c r="G584">
        <v>625305.57195600006</v>
      </c>
      <c r="H584">
        <v>169816.1</v>
      </c>
      <c r="I584">
        <f t="shared" si="29"/>
        <v>455489.47195600008</v>
      </c>
    </row>
    <row r="585" spans="1:12" x14ac:dyDescent="0.3">
      <c r="A585" s="1" t="s">
        <v>22</v>
      </c>
      <c r="B585">
        <f t="shared" si="27"/>
        <v>19.815615999999999</v>
      </c>
      <c r="C585">
        <v>19815616</v>
      </c>
      <c r="D585">
        <v>608336.983443</v>
      </c>
      <c r="E585">
        <f t="shared" si="28"/>
        <v>30699.877482637938</v>
      </c>
      <c r="F585">
        <v>21</v>
      </c>
      <c r="G585">
        <v>893623.68377999996</v>
      </c>
      <c r="H585">
        <v>211769.1</v>
      </c>
      <c r="I585">
        <f t="shared" si="29"/>
        <v>681854.58377999999</v>
      </c>
    </row>
    <row r="586" spans="1:12" x14ac:dyDescent="0.3">
      <c r="A586" s="1" t="s">
        <v>23</v>
      </c>
      <c r="B586">
        <f t="shared" si="27"/>
        <v>9.7991860000000006</v>
      </c>
      <c r="C586">
        <v>9799186</v>
      </c>
      <c r="D586">
        <v>3979173.7878838</v>
      </c>
      <c r="E586">
        <f t="shared" si="28"/>
        <v>406071.87044758612</v>
      </c>
      <c r="F586">
        <v>21</v>
      </c>
      <c r="G586">
        <v>195249.15712799999</v>
      </c>
      <c r="H586">
        <v>679811.9</v>
      </c>
      <c r="I586">
        <f t="shared" si="29"/>
        <v>-484562.74287200003</v>
      </c>
    </row>
    <row r="587" spans="1:12" x14ac:dyDescent="0.3">
      <c r="A587" s="1" t="s">
        <v>24</v>
      </c>
      <c r="B587">
        <f t="shared" si="27"/>
        <v>2.0635309999999998</v>
      </c>
      <c r="C587">
        <v>2063531</v>
      </c>
      <c r="D587">
        <v>37122.510901000001</v>
      </c>
      <c r="E587">
        <f t="shared" si="28"/>
        <v>17989.800444480847</v>
      </c>
      <c r="F587">
        <v>21</v>
      </c>
      <c r="G587">
        <v>376732.24145999999</v>
      </c>
      <c r="H587">
        <v>40762.94</v>
      </c>
      <c r="I587">
        <f t="shared" si="29"/>
        <v>335969.30145999999</v>
      </c>
    </row>
    <row r="588" spans="1:12" x14ac:dyDescent="0.3">
      <c r="A588" s="1" t="s">
        <v>25</v>
      </c>
      <c r="B588">
        <f t="shared" si="27"/>
        <v>5.4238010000000001</v>
      </c>
      <c r="C588">
        <v>5423801</v>
      </c>
      <c r="D588">
        <v>77516.399412268001</v>
      </c>
      <c r="E588">
        <f t="shared" si="28"/>
        <v>14291.895925434579</v>
      </c>
      <c r="F588">
        <v>21</v>
      </c>
      <c r="G588">
        <v>1276695.535932</v>
      </c>
      <c r="H588">
        <v>50516.66</v>
      </c>
      <c r="I588">
        <f t="shared" si="29"/>
        <v>1226178.8759320001</v>
      </c>
    </row>
    <row r="589" spans="1:12" x14ac:dyDescent="0.3">
      <c r="A589" s="1" t="s">
        <v>26</v>
      </c>
      <c r="B589">
        <f t="shared" si="27"/>
        <v>65.116219000000001</v>
      </c>
      <c r="C589">
        <v>65116219</v>
      </c>
      <c r="D589">
        <v>2089276</v>
      </c>
      <c r="E589">
        <f t="shared" si="28"/>
        <v>32085.339598725779</v>
      </c>
      <c r="F589">
        <v>21</v>
      </c>
      <c r="G589">
        <v>4926228.0684479997</v>
      </c>
      <c r="H589">
        <v>429157.5</v>
      </c>
      <c r="I589">
        <f t="shared" si="29"/>
        <v>4497070.5684479997</v>
      </c>
    </row>
    <row r="590" spans="1:12" x14ac:dyDescent="0.3">
      <c r="A590" s="5" t="s">
        <v>0</v>
      </c>
      <c r="B590">
        <f t="shared" si="27"/>
        <v>8.7366679999999999</v>
      </c>
      <c r="C590">
        <v>8736668</v>
      </c>
      <c r="D590">
        <v>318059.83790086</v>
      </c>
      <c r="E590">
        <f t="shared" si="28"/>
        <v>36405.164749405609</v>
      </c>
      <c r="F590">
        <v>22</v>
      </c>
      <c r="K590" s="8"/>
      <c r="L590" s="8"/>
    </row>
    <row r="591" spans="1:12" x14ac:dyDescent="0.3">
      <c r="A591" s="1" t="s">
        <v>1</v>
      </c>
      <c r="B591">
        <f t="shared" si="27"/>
        <v>11.331422</v>
      </c>
      <c r="C591">
        <v>11331422</v>
      </c>
      <c r="D591">
        <v>392288.33988984005</v>
      </c>
      <c r="E591">
        <f t="shared" si="28"/>
        <v>34619.515528575321</v>
      </c>
      <c r="F591">
        <v>22</v>
      </c>
    </row>
    <row r="592" spans="1:12" x14ac:dyDescent="0.3">
      <c r="A592" s="1" t="s">
        <v>2</v>
      </c>
      <c r="B592">
        <f t="shared" si="27"/>
        <v>7.1278220000000001</v>
      </c>
      <c r="C592">
        <v>7127822</v>
      </c>
      <c r="D592">
        <v>82419.667630496988</v>
      </c>
      <c r="E592">
        <f t="shared" si="28"/>
        <v>11563.092853679145</v>
      </c>
      <c r="F592">
        <v>22</v>
      </c>
    </row>
    <row r="593" spans="1:6" x14ac:dyDescent="0.3">
      <c r="A593" s="1" t="s">
        <v>3</v>
      </c>
      <c r="B593">
        <f t="shared" si="27"/>
        <v>0.85156100000000001</v>
      </c>
      <c r="C593">
        <v>851561</v>
      </c>
      <c r="D593">
        <v>18997.306</v>
      </c>
      <c r="E593">
        <f t="shared" si="28"/>
        <v>22308.802305413235</v>
      </c>
      <c r="F593">
        <v>22</v>
      </c>
    </row>
    <row r="594" spans="1:6" x14ac:dyDescent="0.3">
      <c r="A594" s="1" t="s">
        <v>4</v>
      </c>
      <c r="B594">
        <f t="shared" si="27"/>
        <v>10.566331999999999</v>
      </c>
      <c r="C594">
        <v>10566332</v>
      </c>
      <c r="D594">
        <v>4452777.3726070002</v>
      </c>
      <c r="E594">
        <f t="shared" si="28"/>
        <v>421411.83644494612</v>
      </c>
      <c r="F594">
        <v>22</v>
      </c>
    </row>
    <row r="595" spans="1:6" ht="24" x14ac:dyDescent="0.3">
      <c r="A595" s="2" t="s">
        <v>5</v>
      </c>
      <c r="B595">
        <f t="shared" si="27"/>
        <v>82.348669000000001</v>
      </c>
      <c r="C595">
        <v>82348669</v>
      </c>
      <c r="D595">
        <v>2850479.6268812004</v>
      </c>
      <c r="E595">
        <f t="shared" si="28"/>
        <v>34614.762588102065</v>
      </c>
      <c r="F595">
        <v>22</v>
      </c>
    </row>
    <row r="596" spans="1:6" x14ac:dyDescent="0.3">
      <c r="A596" s="1" t="s">
        <v>6</v>
      </c>
      <c r="B596">
        <f t="shared" si="27"/>
        <v>5.7280100000000003</v>
      </c>
      <c r="C596">
        <v>5728010</v>
      </c>
      <c r="D596">
        <v>1993384.0279999999</v>
      </c>
      <c r="E596">
        <f t="shared" si="28"/>
        <v>348006.38057545287</v>
      </c>
      <c r="F596">
        <v>22</v>
      </c>
    </row>
    <row r="597" spans="1:6" x14ac:dyDescent="0.3">
      <c r="A597" s="1" t="s">
        <v>7</v>
      </c>
      <c r="B597">
        <f t="shared" si="27"/>
        <v>1.31579</v>
      </c>
      <c r="C597">
        <v>1315790</v>
      </c>
      <c r="D597">
        <v>17923.320366181</v>
      </c>
      <c r="E597">
        <f t="shared" si="28"/>
        <v>13621.718029610349</v>
      </c>
      <c r="F597">
        <v>22</v>
      </c>
    </row>
    <row r="598" spans="1:6" x14ac:dyDescent="0.3">
      <c r="A598" s="1" t="s">
        <v>8</v>
      </c>
      <c r="B598">
        <f t="shared" si="27"/>
        <v>10.775971</v>
      </c>
      <c r="C598">
        <v>10775971</v>
      </c>
      <c r="D598">
        <v>182015.64674222001</v>
      </c>
      <c r="E598">
        <f t="shared" si="28"/>
        <v>16890.881271137423</v>
      </c>
      <c r="F598">
        <v>22</v>
      </c>
    </row>
    <row r="599" spans="1:6" x14ac:dyDescent="0.3">
      <c r="A599" s="1" t="s">
        <v>31</v>
      </c>
      <c r="B599">
        <f t="shared" si="27"/>
        <v>46.484062000000002</v>
      </c>
      <c r="C599">
        <v>46484062</v>
      </c>
      <c r="D599">
        <v>1103793.0236499</v>
      </c>
      <c r="E599">
        <f t="shared" si="28"/>
        <v>23745.623255770977</v>
      </c>
      <c r="F599">
        <v>22</v>
      </c>
    </row>
    <row r="600" spans="1:6" x14ac:dyDescent="0.3">
      <c r="A600" s="1" t="s">
        <v>9</v>
      </c>
      <c r="B600">
        <f t="shared" si="27"/>
        <v>5.4953029999999998</v>
      </c>
      <c r="C600">
        <v>5495303</v>
      </c>
      <c r="D600">
        <v>194167.39988128</v>
      </c>
      <c r="E600">
        <f t="shared" si="28"/>
        <v>35333.338285674152</v>
      </c>
      <c r="F600">
        <v>22</v>
      </c>
    </row>
    <row r="601" spans="1:6" x14ac:dyDescent="0.3">
      <c r="A601" s="1" t="s">
        <v>10</v>
      </c>
      <c r="B601">
        <f t="shared" si="27"/>
        <v>66.724103999999997</v>
      </c>
      <c r="C601">
        <v>66724104</v>
      </c>
      <c r="D601">
        <v>2123002.3275367999</v>
      </c>
      <c r="E601">
        <f t="shared" si="28"/>
        <v>31817.622122536108</v>
      </c>
      <c r="F601">
        <v>22</v>
      </c>
    </row>
    <row r="602" spans="1:6" x14ac:dyDescent="0.3">
      <c r="A602" s="1" t="s">
        <v>11</v>
      </c>
      <c r="B602">
        <f t="shared" si="27"/>
        <v>4.1724410000000001</v>
      </c>
      <c r="C602">
        <v>4172441</v>
      </c>
      <c r="D602">
        <v>341889.63357752003</v>
      </c>
      <c r="E602">
        <f t="shared" si="28"/>
        <v>81939.956389442057</v>
      </c>
      <c r="F602">
        <v>22</v>
      </c>
    </row>
    <row r="603" spans="1:6" x14ac:dyDescent="0.3">
      <c r="A603" s="1" t="s">
        <v>12</v>
      </c>
      <c r="B603">
        <f t="shared" si="27"/>
        <v>9.8140230000000006</v>
      </c>
      <c r="C603">
        <v>9814023</v>
      </c>
      <c r="D603">
        <v>31098430.988618001</v>
      </c>
      <c r="E603">
        <f t="shared" si="28"/>
        <v>3168775.0261659259</v>
      </c>
      <c r="F603">
        <v>22</v>
      </c>
    </row>
    <row r="604" spans="1:6" x14ac:dyDescent="0.3">
      <c r="A604" s="1" t="s">
        <v>13</v>
      </c>
      <c r="B604">
        <f t="shared" si="27"/>
        <v>4.7553349999999996</v>
      </c>
      <c r="C604">
        <v>4755335</v>
      </c>
      <c r="D604">
        <v>237740.01984184</v>
      </c>
      <c r="E604">
        <f t="shared" si="28"/>
        <v>49994.37891165186</v>
      </c>
      <c r="F604">
        <v>22</v>
      </c>
    </row>
    <row r="605" spans="1:6" x14ac:dyDescent="0.3">
      <c r="A605" s="1" t="s">
        <v>14</v>
      </c>
      <c r="B605">
        <f t="shared" si="27"/>
        <v>60.627498000000003</v>
      </c>
      <c r="C605">
        <v>60627498</v>
      </c>
      <c r="D605">
        <v>1577421.3589063999</v>
      </c>
      <c r="E605">
        <f t="shared" si="28"/>
        <v>26018.249324859156</v>
      </c>
      <c r="F605">
        <v>22</v>
      </c>
    </row>
    <row r="606" spans="1:6" x14ac:dyDescent="0.3">
      <c r="A606" s="1" t="s">
        <v>15</v>
      </c>
      <c r="B606">
        <f t="shared" si="27"/>
        <v>2.8682310000000002</v>
      </c>
      <c r="C606">
        <v>2868231</v>
      </c>
      <c r="D606">
        <v>34616.526122695999</v>
      </c>
      <c r="E606">
        <f t="shared" si="28"/>
        <v>12068.946372414215</v>
      </c>
      <c r="F606">
        <v>22</v>
      </c>
    </row>
    <row r="607" spans="1:6" x14ac:dyDescent="0.3">
      <c r="A607" s="1" t="s">
        <v>16</v>
      </c>
      <c r="B607">
        <f t="shared" si="27"/>
        <v>0.58201400000000003</v>
      </c>
      <c r="C607">
        <v>582014</v>
      </c>
      <c r="D607">
        <v>49506.805563458001</v>
      </c>
      <c r="E607">
        <f t="shared" si="28"/>
        <v>85061.193654204195</v>
      </c>
      <c r="F607">
        <v>22</v>
      </c>
    </row>
    <row r="608" spans="1:6" x14ac:dyDescent="0.3">
      <c r="A608" s="1" t="s">
        <v>17</v>
      </c>
      <c r="B608">
        <f t="shared" si="27"/>
        <v>1.9595370000000001</v>
      </c>
      <c r="C608">
        <v>1959537</v>
      </c>
      <c r="D608">
        <v>21951.189460474998</v>
      </c>
      <c r="E608">
        <f t="shared" si="28"/>
        <v>11202.232701130419</v>
      </c>
      <c r="F608">
        <v>22</v>
      </c>
    </row>
    <row r="609" spans="1:12" x14ac:dyDescent="0.3">
      <c r="A609" s="1" t="s">
        <v>18</v>
      </c>
      <c r="B609">
        <f t="shared" si="27"/>
        <v>0.45535599999999998</v>
      </c>
      <c r="C609">
        <v>455356</v>
      </c>
      <c r="D609">
        <v>9150.4421964601006</v>
      </c>
      <c r="E609">
        <f t="shared" si="28"/>
        <v>20095.139180026399</v>
      </c>
      <c r="F609">
        <v>22</v>
      </c>
    </row>
    <row r="610" spans="1:12" x14ac:dyDescent="0.3">
      <c r="A610" s="1" t="s">
        <v>19</v>
      </c>
      <c r="B610">
        <f t="shared" si="27"/>
        <v>17.030314000000001</v>
      </c>
      <c r="C610">
        <v>17030314</v>
      </c>
      <c r="D610">
        <v>677999.49416763999</v>
      </c>
      <c r="E610">
        <f t="shared" si="28"/>
        <v>39811.332554857181</v>
      </c>
      <c r="F610">
        <v>22</v>
      </c>
    </row>
    <row r="611" spans="1:12" x14ac:dyDescent="0.3">
      <c r="A611" s="1" t="s">
        <v>20</v>
      </c>
      <c r="B611">
        <f t="shared" si="27"/>
        <v>37.970086999999999</v>
      </c>
      <c r="C611">
        <v>37970087</v>
      </c>
      <c r="D611">
        <v>1726113.8569594999</v>
      </c>
      <c r="E611">
        <f t="shared" si="28"/>
        <v>45459.834130996329</v>
      </c>
      <c r="F611">
        <v>22</v>
      </c>
    </row>
    <row r="612" spans="1:12" x14ac:dyDescent="0.3">
      <c r="A612" s="1" t="s">
        <v>21</v>
      </c>
      <c r="B612">
        <f t="shared" si="27"/>
        <v>10.325452</v>
      </c>
      <c r="C612">
        <v>10325452</v>
      </c>
      <c r="D612">
        <v>175676.2635116</v>
      </c>
      <c r="E612">
        <f t="shared" si="28"/>
        <v>17013.905397226194</v>
      </c>
      <c r="F612">
        <v>22</v>
      </c>
    </row>
    <row r="613" spans="1:12" x14ac:dyDescent="0.3">
      <c r="A613" s="1" t="s">
        <v>22</v>
      </c>
      <c r="B613">
        <f t="shared" si="27"/>
        <v>19.702266999999999</v>
      </c>
      <c r="C613">
        <v>19702267</v>
      </c>
      <c r="D613">
        <v>636947.10322199995</v>
      </c>
      <c r="E613">
        <f t="shared" si="28"/>
        <v>32328.620012204687</v>
      </c>
      <c r="F613">
        <v>22</v>
      </c>
    </row>
    <row r="614" spans="1:12" x14ac:dyDescent="0.3">
      <c r="A614" s="1" t="s">
        <v>23</v>
      </c>
      <c r="B614">
        <f t="shared" si="27"/>
        <v>9.9230850000000004</v>
      </c>
      <c r="C614">
        <v>9923085</v>
      </c>
      <c r="D614">
        <v>4061566.2877831003</v>
      </c>
      <c r="E614">
        <f t="shared" si="28"/>
        <v>409304.7966215245</v>
      </c>
      <c r="F614">
        <v>22</v>
      </c>
    </row>
    <row r="615" spans="1:12" x14ac:dyDescent="0.3">
      <c r="A615" s="1" t="s">
        <v>24</v>
      </c>
      <c r="B615">
        <f t="shared" si="27"/>
        <v>2.065042</v>
      </c>
      <c r="C615">
        <v>2065042</v>
      </c>
      <c r="D615">
        <v>38307.407117000002</v>
      </c>
      <c r="E615">
        <f t="shared" si="28"/>
        <v>18550.425181182756</v>
      </c>
      <c r="F615">
        <v>22</v>
      </c>
    </row>
    <row r="616" spans="1:12" x14ac:dyDescent="0.3">
      <c r="A616" s="1" t="s">
        <v>25</v>
      </c>
      <c r="B616">
        <f t="shared" si="27"/>
        <v>5.4307980000000002</v>
      </c>
      <c r="C616">
        <v>5430798</v>
      </c>
      <c r="D616">
        <v>79013.768819404999</v>
      </c>
      <c r="E616">
        <f t="shared" si="28"/>
        <v>14549.200470981428</v>
      </c>
      <c r="F616">
        <v>22</v>
      </c>
    </row>
    <row r="617" spans="1:12" x14ac:dyDescent="0.3">
      <c r="A617" s="1" t="s">
        <v>26</v>
      </c>
      <c r="B617">
        <f t="shared" si="27"/>
        <v>65.611592999999999</v>
      </c>
      <c r="C617">
        <v>65611593</v>
      </c>
      <c r="D617">
        <v>2136566</v>
      </c>
      <c r="E617">
        <f t="shared" si="28"/>
        <v>32563.84889176521</v>
      </c>
      <c r="F617">
        <v>22</v>
      </c>
    </row>
    <row r="618" spans="1:12" x14ac:dyDescent="0.3">
      <c r="A618" s="5" t="s">
        <v>0</v>
      </c>
      <c r="B618">
        <f t="shared" si="27"/>
        <v>8.7975659999999998</v>
      </c>
      <c r="C618">
        <v>8797566</v>
      </c>
      <c r="D618">
        <v>325243.44971856999</v>
      </c>
      <c r="E618">
        <f t="shared" si="28"/>
        <v>36969.708407822116</v>
      </c>
      <c r="F618">
        <v>23</v>
      </c>
      <c r="K618" s="8"/>
      <c r="L618" s="8"/>
    </row>
    <row r="619" spans="1:12" x14ac:dyDescent="0.3">
      <c r="A619" s="1" t="s">
        <v>1</v>
      </c>
      <c r="B619">
        <f t="shared" si="27"/>
        <v>11.375158000000001</v>
      </c>
      <c r="C619">
        <v>11375158</v>
      </c>
      <c r="D619">
        <v>398641.76447711</v>
      </c>
      <c r="E619">
        <f t="shared" si="28"/>
        <v>35044.943066031257</v>
      </c>
      <c r="F619">
        <v>23</v>
      </c>
    </row>
    <row r="620" spans="1:12" x14ac:dyDescent="0.3">
      <c r="A620" s="1" t="s">
        <v>2</v>
      </c>
      <c r="B620">
        <f t="shared" si="27"/>
        <v>7.0759470000000002</v>
      </c>
      <c r="C620">
        <v>7075947</v>
      </c>
      <c r="D620">
        <v>84696.239754795999</v>
      </c>
      <c r="E620">
        <f t="shared" si="28"/>
        <v>11969.597815641637</v>
      </c>
      <c r="F620">
        <v>23</v>
      </c>
    </row>
    <row r="621" spans="1:12" x14ac:dyDescent="0.3">
      <c r="A621" s="1" t="s">
        <v>3</v>
      </c>
      <c r="B621">
        <f t="shared" si="27"/>
        <v>0.85951900000000003</v>
      </c>
      <c r="C621">
        <v>859519</v>
      </c>
      <c r="D621">
        <v>20109.131000000001</v>
      </c>
      <c r="E621">
        <f t="shared" si="28"/>
        <v>23395.795788109397</v>
      </c>
      <c r="F621">
        <v>23</v>
      </c>
    </row>
    <row r="622" spans="1:12" x14ac:dyDescent="0.3">
      <c r="A622" s="1" t="s">
        <v>4</v>
      </c>
      <c r="B622">
        <f t="shared" si="27"/>
        <v>10.594438</v>
      </c>
      <c r="C622">
        <v>10594438</v>
      </c>
      <c r="D622">
        <v>4682929.1588737005</v>
      </c>
      <c r="E622">
        <f t="shared" si="28"/>
        <v>442017.70390026353</v>
      </c>
      <c r="F622">
        <v>23</v>
      </c>
    </row>
    <row r="623" spans="1:12" ht="24" x14ac:dyDescent="0.3">
      <c r="A623" s="2" t="s">
        <v>5</v>
      </c>
      <c r="B623">
        <f t="shared" si="27"/>
        <v>82.657002000000006</v>
      </c>
      <c r="C623">
        <v>82657002</v>
      </c>
      <c r="D623">
        <v>2926879.0687408</v>
      </c>
      <c r="E623">
        <f t="shared" si="28"/>
        <v>35409.935007572618</v>
      </c>
      <c r="F623">
        <v>23</v>
      </c>
    </row>
    <row r="624" spans="1:12" x14ac:dyDescent="0.3">
      <c r="A624" s="1" t="s">
        <v>6</v>
      </c>
      <c r="B624">
        <f t="shared" si="27"/>
        <v>5.7649800000000004</v>
      </c>
      <c r="C624">
        <v>5764980</v>
      </c>
      <c r="D624">
        <v>2049632.07</v>
      </c>
      <c r="E624">
        <f t="shared" si="28"/>
        <v>355531.51441982453</v>
      </c>
      <c r="F624">
        <v>23</v>
      </c>
    </row>
    <row r="625" spans="1:6" x14ac:dyDescent="0.3">
      <c r="A625" s="1" t="s">
        <v>7</v>
      </c>
      <c r="B625">
        <f t="shared" si="27"/>
        <v>1.3173840000000001</v>
      </c>
      <c r="C625">
        <v>1317384</v>
      </c>
      <c r="D625">
        <v>18961.446667889999</v>
      </c>
      <c r="E625">
        <f t="shared" si="28"/>
        <v>14393.257142860393</v>
      </c>
      <c r="F625">
        <v>23</v>
      </c>
    </row>
    <row r="626" spans="1:6" x14ac:dyDescent="0.3">
      <c r="A626" s="1" t="s">
        <v>8</v>
      </c>
      <c r="B626">
        <f t="shared" si="27"/>
        <v>10.754678999999999</v>
      </c>
      <c r="C626">
        <v>10754679</v>
      </c>
      <c r="D626">
        <v>184003.52871913</v>
      </c>
      <c r="E626">
        <f t="shared" si="28"/>
        <v>17109.160461147192</v>
      </c>
      <c r="F626">
        <v>23</v>
      </c>
    </row>
    <row r="627" spans="1:6" x14ac:dyDescent="0.3">
      <c r="A627" s="1" t="s">
        <v>31</v>
      </c>
      <c r="B627">
        <f t="shared" si="27"/>
        <v>46.593235999999997</v>
      </c>
      <c r="C627">
        <v>46593236</v>
      </c>
      <c r="D627">
        <v>1136615.8676595001</v>
      </c>
      <c r="E627">
        <f t="shared" si="28"/>
        <v>24394.439305728843</v>
      </c>
      <c r="F627">
        <v>23</v>
      </c>
    </row>
    <row r="628" spans="1:6" x14ac:dyDescent="0.3">
      <c r="A628" s="1" t="s">
        <v>9</v>
      </c>
      <c r="B628">
        <f t="shared" si="27"/>
        <v>5.5082139999999997</v>
      </c>
      <c r="C628">
        <v>5508214</v>
      </c>
      <c r="D628">
        <v>200366.01865279998</v>
      </c>
      <c r="E628">
        <f t="shared" si="28"/>
        <v>36375.859516859724</v>
      </c>
      <c r="F628">
        <v>23</v>
      </c>
    </row>
    <row r="629" spans="1:6" x14ac:dyDescent="0.3">
      <c r="A629" s="1" t="s">
        <v>10</v>
      </c>
      <c r="B629">
        <f t="shared" si="27"/>
        <v>66.918019999999999</v>
      </c>
      <c r="C629">
        <v>66918020</v>
      </c>
      <c r="D629">
        <v>2171649.2271531997</v>
      </c>
      <c r="E629">
        <f t="shared" si="28"/>
        <v>32452.383186968171</v>
      </c>
      <c r="F629">
        <v>23</v>
      </c>
    </row>
    <row r="630" spans="1:6" x14ac:dyDescent="0.3">
      <c r="A630" s="1" t="s">
        <v>11</v>
      </c>
      <c r="B630">
        <f t="shared" si="27"/>
        <v>4.1298529999999998</v>
      </c>
      <c r="C630">
        <v>4129853</v>
      </c>
      <c r="D630">
        <v>353562.06109196995</v>
      </c>
      <c r="E630">
        <f t="shared" si="28"/>
        <v>85611.294419430909</v>
      </c>
      <c r="F630">
        <v>23</v>
      </c>
    </row>
    <row r="631" spans="1:6" x14ac:dyDescent="0.3">
      <c r="A631" s="1" t="s">
        <v>12</v>
      </c>
      <c r="B631">
        <f t="shared" si="27"/>
        <v>9.7879660000000008</v>
      </c>
      <c r="C631">
        <v>9787966</v>
      </c>
      <c r="D631">
        <v>32425885.371858001</v>
      </c>
      <c r="E631">
        <f t="shared" si="28"/>
        <v>3312831.8357315501</v>
      </c>
      <c r="F631">
        <v>23</v>
      </c>
    </row>
    <row r="632" spans="1:6" x14ac:dyDescent="0.3">
      <c r="A632" s="1" t="s">
        <v>13</v>
      </c>
      <c r="B632">
        <f t="shared" si="27"/>
        <v>4.8073880000000004</v>
      </c>
      <c r="C632">
        <v>4807388</v>
      </c>
      <c r="D632">
        <v>258994.01061329999</v>
      </c>
      <c r="E632">
        <f t="shared" si="28"/>
        <v>53874.164226665285</v>
      </c>
      <c r="F632">
        <v>23</v>
      </c>
    </row>
    <row r="633" spans="1:6" x14ac:dyDescent="0.3">
      <c r="A633" s="1" t="s">
        <v>14</v>
      </c>
      <c r="B633">
        <f t="shared" si="27"/>
        <v>60.536709000000002</v>
      </c>
      <c r="C633">
        <v>60536709</v>
      </c>
      <c r="D633">
        <v>1603730.5236567</v>
      </c>
      <c r="E633">
        <f t="shared" si="28"/>
        <v>26491.868324997646</v>
      </c>
      <c r="F633">
        <v>23</v>
      </c>
    </row>
    <row r="634" spans="1:6" x14ac:dyDescent="0.3">
      <c r="A634" s="1" t="s">
        <v>15</v>
      </c>
      <c r="B634">
        <f t="shared" si="27"/>
        <v>2.8284029999999998</v>
      </c>
      <c r="C634">
        <v>2828403</v>
      </c>
      <c r="D634">
        <v>36099.012893776002</v>
      </c>
      <c r="E634">
        <f t="shared" si="28"/>
        <v>12763.037266533802</v>
      </c>
      <c r="F634">
        <v>23</v>
      </c>
    </row>
    <row r="635" spans="1:6" x14ac:dyDescent="0.3">
      <c r="A635" s="1" t="s">
        <v>16</v>
      </c>
      <c r="B635">
        <f t="shared" si="27"/>
        <v>0.59633599999999998</v>
      </c>
      <c r="C635">
        <v>596336</v>
      </c>
      <c r="D635">
        <v>50158.903098654002</v>
      </c>
      <c r="E635">
        <f t="shared" si="28"/>
        <v>84111.814645860723</v>
      </c>
      <c r="F635">
        <v>23</v>
      </c>
    </row>
    <row r="636" spans="1:6" x14ac:dyDescent="0.3">
      <c r="A636" s="1" t="s">
        <v>17</v>
      </c>
      <c r="B636">
        <f t="shared" si="27"/>
        <v>1.942248</v>
      </c>
      <c r="C636">
        <v>1942248</v>
      </c>
      <c r="D636">
        <v>22678.451879678003</v>
      </c>
      <c r="E636">
        <f t="shared" si="28"/>
        <v>11676.393477907046</v>
      </c>
      <c r="F636">
        <v>23</v>
      </c>
    </row>
    <row r="637" spans="1:6" x14ac:dyDescent="0.3">
      <c r="A637" s="1" t="s">
        <v>18</v>
      </c>
      <c r="B637">
        <f t="shared" si="27"/>
        <v>0.467999</v>
      </c>
      <c r="C637">
        <v>467999</v>
      </c>
      <c r="D637">
        <v>10206.208877513</v>
      </c>
      <c r="E637">
        <f t="shared" si="28"/>
        <v>21808.18522585091</v>
      </c>
      <c r="F637">
        <v>23</v>
      </c>
    </row>
    <row r="638" spans="1:6" x14ac:dyDescent="0.3">
      <c r="A638" s="1" t="s">
        <v>19</v>
      </c>
      <c r="B638">
        <f t="shared" si="27"/>
        <v>17.131295999999999</v>
      </c>
      <c r="C638">
        <v>17131296</v>
      </c>
      <c r="D638">
        <v>697735.39892770001</v>
      </c>
      <c r="E638">
        <f t="shared" si="28"/>
        <v>40728.699038747567</v>
      </c>
      <c r="F638">
        <v>23</v>
      </c>
    </row>
    <row r="639" spans="1:6" x14ac:dyDescent="0.3">
      <c r="A639" s="1" t="s">
        <v>20</v>
      </c>
      <c r="B639">
        <f t="shared" si="27"/>
        <v>37.974826</v>
      </c>
      <c r="C639">
        <v>37974826</v>
      </c>
      <c r="D639">
        <v>1809496.4796515</v>
      </c>
      <c r="E639">
        <f t="shared" si="28"/>
        <v>47649.89521351592</v>
      </c>
      <c r="F639">
        <v>23</v>
      </c>
    </row>
    <row r="640" spans="1:6" x14ac:dyDescent="0.3">
      <c r="A640" s="1" t="s">
        <v>21</v>
      </c>
      <c r="B640">
        <f t="shared" si="27"/>
        <v>10.3003</v>
      </c>
      <c r="C640">
        <v>10300300</v>
      </c>
      <c r="D640">
        <v>181836.07923939999</v>
      </c>
      <c r="E640">
        <f t="shared" si="28"/>
        <v>17653.474096812712</v>
      </c>
      <c r="F640">
        <v>23</v>
      </c>
    </row>
    <row r="641" spans="1:6" x14ac:dyDescent="0.3">
      <c r="A641" s="1" t="s">
        <v>22</v>
      </c>
      <c r="B641">
        <f t="shared" si="27"/>
        <v>19.588715000000001</v>
      </c>
      <c r="C641">
        <v>19588715</v>
      </c>
      <c r="D641">
        <v>683568.075496</v>
      </c>
      <c r="E641">
        <f t="shared" si="28"/>
        <v>34896.01413344367</v>
      </c>
      <c r="F641">
        <v>23</v>
      </c>
    </row>
    <row r="642" spans="1:6" x14ac:dyDescent="0.3">
      <c r="A642" s="1" t="s">
        <v>23</v>
      </c>
      <c r="B642">
        <f t="shared" si="27"/>
        <v>10.057698</v>
      </c>
      <c r="C642">
        <v>10057698</v>
      </c>
      <c r="D642">
        <v>4165864.2445969</v>
      </c>
      <c r="E642">
        <f t="shared" si="28"/>
        <v>414196.59295764298</v>
      </c>
      <c r="F642">
        <v>23</v>
      </c>
    </row>
    <row r="643" spans="1:6" x14ac:dyDescent="0.3">
      <c r="A643" s="1" t="s">
        <v>24</v>
      </c>
      <c r="B643">
        <f t="shared" ref="B643:B706" si="30">C643/1000000</f>
        <v>2.0663879999999999</v>
      </c>
      <c r="C643">
        <v>2066388</v>
      </c>
      <c r="D643">
        <v>40152.054024999998</v>
      </c>
      <c r="E643">
        <f t="shared" ref="E643:E706" si="31">D643/B643</f>
        <v>19431.0332933602</v>
      </c>
      <c r="F643">
        <v>23</v>
      </c>
    </row>
    <row r="644" spans="1:6" x14ac:dyDescent="0.3">
      <c r="A644" s="1" t="s">
        <v>25</v>
      </c>
      <c r="B644">
        <f t="shared" si="30"/>
        <v>5.4392319999999996</v>
      </c>
      <c r="C644">
        <v>5439232</v>
      </c>
      <c r="D644">
        <v>81368.526943812001</v>
      </c>
      <c r="E644">
        <f t="shared" si="31"/>
        <v>14959.561743976357</v>
      </c>
      <c r="F644">
        <v>23</v>
      </c>
    </row>
    <row r="645" spans="1:6" x14ac:dyDescent="0.3">
      <c r="A645" s="1" t="s">
        <v>26</v>
      </c>
      <c r="B645">
        <f t="shared" si="30"/>
        <v>66.058858999999998</v>
      </c>
      <c r="C645">
        <v>66058859</v>
      </c>
      <c r="D645">
        <v>2182170</v>
      </c>
      <c r="E645">
        <f t="shared" si="31"/>
        <v>33033.722244581913</v>
      </c>
      <c r="F645">
        <v>23</v>
      </c>
    </row>
    <row r="646" spans="1:6" x14ac:dyDescent="0.3">
      <c r="A646" s="5" t="s">
        <v>0</v>
      </c>
      <c r="B646">
        <f t="shared" si="30"/>
        <v>8.8405210000000007</v>
      </c>
      <c r="C646">
        <v>8840521</v>
      </c>
      <c r="D646">
        <v>333379.72398069</v>
      </c>
      <c r="E646">
        <f t="shared" si="31"/>
        <v>37710.415933709111</v>
      </c>
      <c r="F646">
        <v>24</v>
      </c>
    </row>
    <row r="647" spans="1:6" x14ac:dyDescent="0.3">
      <c r="A647" s="1" t="s">
        <v>1</v>
      </c>
      <c r="B647">
        <f t="shared" si="30"/>
        <v>11.427054</v>
      </c>
      <c r="C647">
        <v>11427054</v>
      </c>
      <c r="D647">
        <v>405893.87006295001</v>
      </c>
      <c r="E647">
        <f t="shared" si="31"/>
        <v>35520.429855582202</v>
      </c>
      <c r="F647">
        <v>24</v>
      </c>
    </row>
    <row r="648" spans="1:6" x14ac:dyDescent="0.3">
      <c r="A648" s="1" t="s">
        <v>2</v>
      </c>
      <c r="B648">
        <f t="shared" si="30"/>
        <v>7.0250370000000002</v>
      </c>
      <c r="C648">
        <v>7025037</v>
      </c>
      <c r="D648">
        <v>86969.974791034998</v>
      </c>
      <c r="E648">
        <f t="shared" si="31"/>
        <v>12380.002381629449</v>
      </c>
      <c r="F648">
        <v>24</v>
      </c>
    </row>
    <row r="649" spans="1:6" x14ac:dyDescent="0.3">
      <c r="A649" s="1" t="s">
        <v>3</v>
      </c>
      <c r="B649">
        <f t="shared" si="30"/>
        <v>0.87006799999999995</v>
      </c>
      <c r="C649">
        <v>870068</v>
      </c>
      <c r="D649">
        <v>21253.912</v>
      </c>
      <c r="E649">
        <f t="shared" si="31"/>
        <v>24427.874602904601</v>
      </c>
      <c r="F649">
        <v>24</v>
      </c>
    </row>
    <row r="650" spans="1:6" x14ac:dyDescent="0.3">
      <c r="A650" s="1" t="s">
        <v>4</v>
      </c>
      <c r="B650">
        <f t="shared" si="30"/>
        <v>10.629928</v>
      </c>
      <c r="C650">
        <v>10629928</v>
      </c>
      <c r="D650">
        <v>4832719.9581343001</v>
      </c>
      <c r="E650">
        <f t="shared" si="31"/>
        <v>454633.36704955105</v>
      </c>
      <c r="F650">
        <v>24</v>
      </c>
    </row>
    <row r="651" spans="1:6" ht="24" x14ac:dyDescent="0.3">
      <c r="A651" s="2" t="s">
        <v>5</v>
      </c>
      <c r="B651">
        <f t="shared" si="30"/>
        <v>82.905782000000002</v>
      </c>
      <c r="C651">
        <v>82905782</v>
      </c>
      <c r="D651">
        <v>2958665.6929259999</v>
      </c>
      <c r="E651">
        <f t="shared" si="31"/>
        <v>35687.085044635365</v>
      </c>
      <c r="F651">
        <v>24</v>
      </c>
    </row>
    <row r="652" spans="1:6" x14ac:dyDescent="0.3">
      <c r="A652" s="1" t="s">
        <v>6</v>
      </c>
      <c r="B652">
        <f t="shared" si="30"/>
        <v>5.7936360000000002</v>
      </c>
      <c r="C652">
        <v>5793636</v>
      </c>
      <c r="D652">
        <v>2090410.2649999999</v>
      </c>
      <c r="E652">
        <f t="shared" si="31"/>
        <v>360811.4601952901</v>
      </c>
      <c r="F652">
        <v>24</v>
      </c>
    </row>
    <row r="653" spans="1:6" x14ac:dyDescent="0.3">
      <c r="A653" s="1" t="s">
        <v>7</v>
      </c>
      <c r="B653">
        <f t="shared" si="30"/>
        <v>1.321977</v>
      </c>
      <c r="C653">
        <v>1321977</v>
      </c>
      <c r="D653">
        <v>19745.279058568001</v>
      </c>
      <c r="E653">
        <f t="shared" si="31"/>
        <v>14936.174425552035</v>
      </c>
      <c r="F653">
        <v>24</v>
      </c>
    </row>
    <row r="654" spans="1:6" x14ac:dyDescent="0.3">
      <c r="A654" s="1" t="s">
        <v>8</v>
      </c>
      <c r="B654">
        <f t="shared" si="30"/>
        <v>10.732882</v>
      </c>
      <c r="C654">
        <v>10732882</v>
      </c>
      <c r="D654">
        <v>187073.49577171</v>
      </c>
      <c r="E654">
        <f t="shared" si="31"/>
        <v>17429.940604183481</v>
      </c>
      <c r="F654">
        <v>24</v>
      </c>
    </row>
    <row r="655" spans="1:6" x14ac:dyDescent="0.3">
      <c r="A655" s="1" t="s">
        <v>31</v>
      </c>
      <c r="B655">
        <f t="shared" si="30"/>
        <v>46.797753999999998</v>
      </c>
      <c r="C655">
        <v>46797754</v>
      </c>
      <c r="D655">
        <v>1162630.5688316</v>
      </c>
      <c r="E655">
        <f t="shared" si="31"/>
        <v>24843.725808542011</v>
      </c>
      <c r="F655">
        <v>24</v>
      </c>
    </row>
    <row r="656" spans="1:6" x14ac:dyDescent="0.3">
      <c r="A656" s="1" t="s">
        <v>9</v>
      </c>
      <c r="B656">
        <f t="shared" si="30"/>
        <v>5.5155250000000002</v>
      </c>
      <c r="C656">
        <v>5515525</v>
      </c>
      <c r="D656">
        <v>202654.09341120999</v>
      </c>
      <c r="E656">
        <f t="shared" si="31"/>
        <v>36742.484788158879</v>
      </c>
      <c r="F656">
        <v>24</v>
      </c>
    </row>
    <row r="657" spans="1:6" x14ac:dyDescent="0.3">
      <c r="A657" s="1" t="s">
        <v>10</v>
      </c>
      <c r="B657">
        <f t="shared" si="30"/>
        <v>67.101929999999996</v>
      </c>
      <c r="C657">
        <v>67101930</v>
      </c>
      <c r="D657">
        <v>2212151.9204747998</v>
      </c>
      <c r="E657">
        <f t="shared" si="31"/>
        <v>32967.038660062382</v>
      </c>
      <c r="F657">
        <v>24</v>
      </c>
    </row>
    <row r="658" spans="1:6" x14ac:dyDescent="0.3">
      <c r="A658" s="1" t="s">
        <v>11</v>
      </c>
      <c r="B658">
        <f t="shared" si="30"/>
        <v>4.0908699999999998</v>
      </c>
      <c r="C658">
        <v>4090870</v>
      </c>
      <c r="D658">
        <v>363815.39482240996</v>
      </c>
      <c r="E658">
        <f t="shared" si="31"/>
        <v>88933.501876718146</v>
      </c>
      <c r="F658">
        <v>24</v>
      </c>
    </row>
    <row r="659" spans="1:6" x14ac:dyDescent="0.3">
      <c r="A659" s="1" t="s">
        <v>12</v>
      </c>
      <c r="B659">
        <f t="shared" si="30"/>
        <v>9.7755639999999993</v>
      </c>
      <c r="C659">
        <v>9775564</v>
      </c>
      <c r="D659">
        <v>34163749.560052</v>
      </c>
      <c r="E659">
        <f t="shared" si="31"/>
        <v>3494811.0983726364</v>
      </c>
      <c r="F659">
        <v>24</v>
      </c>
    </row>
    <row r="660" spans="1:6" x14ac:dyDescent="0.3">
      <c r="A660" s="1" t="s">
        <v>13</v>
      </c>
      <c r="B660">
        <f t="shared" si="30"/>
        <v>4.8673159999999998</v>
      </c>
      <c r="C660">
        <v>4867316</v>
      </c>
      <c r="D660">
        <v>282381.58520953998</v>
      </c>
      <c r="E660">
        <f t="shared" si="31"/>
        <v>58015.872651280501</v>
      </c>
      <c r="F660">
        <v>24</v>
      </c>
    </row>
    <row r="661" spans="1:6" x14ac:dyDescent="0.3">
      <c r="A661" s="1" t="s">
        <v>14</v>
      </c>
      <c r="B661">
        <f t="shared" si="30"/>
        <v>60.421759999999999</v>
      </c>
      <c r="C661">
        <v>60421760</v>
      </c>
      <c r="D661">
        <v>1618578.0363090001</v>
      </c>
      <c r="E661">
        <f t="shared" si="31"/>
        <v>26787.998832026744</v>
      </c>
      <c r="F661">
        <v>24</v>
      </c>
    </row>
    <row r="662" spans="1:6" x14ac:dyDescent="0.3">
      <c r="A662" s="1" t="s">
        <v>15</v>
      </c>
      <c r="B662">
        <f t="shared" si="30"/>
        <v>2.8015430000000001</v>
      </c>
      <c r="C662">
        <v>2801543</v>
      </c>
      <c r="D662">
        <v>37540.558485768997</v>
      </c>
      <c r="E662">
        <f t="shared" si="31"/>
        <v>13399.957982357935</v>
      </c>
      <c r="F662">
        <v>24</v>
      </c>
    </row>
    <row r="663" spans="1:6" x14ac:dyDescent="0.3">
      <c r="A663" s="1" t="s">
        <v>16</v>
      </c>
      <c r="B663">
        <f t="shared" si="30"/>
        <v>0.60794999999999999</v>
      </c>
      <c r="C663">
        <v>607950</v>
      </c>
      <c r="D663">
        <v>51164.276675920999</v>
      </c>
      <c r="E663">
        <f t="shared" si="31"/>
        <v>84158.691793603095</v>
      </c>
      <c r="F663">
        <v>24</v>
      </c>
    </row>
    <row r="664" spans="1:6" x14ac:dyDescent="0.3">
      <c r="A664" s="1" t="s">
        <v>17</v>
      </c>
      <c r="B664">
        <f t="shared" si="30"/>
        <v>1.9271739999999999</v>
      </c>
      <c r="C664">
        <v>1927174</v>
      </c>
      <c r="D664">
        <v>23583.204269605001</v>
      </c>
      <c r="E664">
        <f t="shared" si="31"/>
        <v>12237.195120733781</v>
      </c>
      <c r="F664">
        <v>24</v>
      </c>
    </row>
    <row r="665" spans="1:6" x14ac:dyDescent="0.3">
      <c r="A665" s="1" t="s">
        <v>18</v>
      </c>
      <c r="B665">
        <f t="shared" si="30"/>
        <v>0.48463000000000001</v>
      </c>
      <c r="C665">
        <v>484630</v>
      </c>
      <c r="D665">
        <v>10832.704806035999</v>
      </c>
      <c r="E665">
        <f t="shared" si="31"/>
        <v>22352.526269599486</v>
      </c>
      <c r="F665">
        <v>24</v>
      </c>
    </row>
    <row r="666" spans="1:6" x14ac:dyDescent="0.3">
      <c r="A666" s="1" t="s">
        <v>19</v>
      </c>
      <c r="B666">
        <f t="shared" si="30"/>
        <v>17.231624</v>
      </c>
      <c r="C666">
        <v>17231624</v>
      </c>
      <c r="D666">
        <v>714208.33896541002</v>
      </c>
      <c r="E666">
        <f t="shared" si="31"/>
        <v>41447.535006880957</v>
      </c>
      <c r="F666">
        <v>24</v>
      </c>
    </row>
    <row r="667" spans="1:6" x14ac:dyDescent="0.3">
      <c r="A667" s="1" t="s">
        <v>20</v>
      </c>
      <c r="B667">
        <f t="shared" si="30"/>
        <v>37.97475</v>
      </c>
      <c r="C667">
        <v>37974750</v>
      </c>
      <c r="D667">
        <v>1906371.5533861001</v>
      </c>
      <c r="E667">
        <f t="shared" si="31"/>
        <v>50201.029720698622</v>
      </c>
      <c r="F667">
        <v>24</v>
      </c>
    </row>
    <row r="668" spans="1:6" x14ac:dyDescent="0.3">
      <c r="A668" s="1" t="s">
        <v>21</v>
      </c>
      <c r="B668">
        <f t="shared" si="30"/>
        <v>10.283822000000001</v>
      </c>
      <c r="C668">
        <v>10283822</v>
      </c>
      <c r="D668">
        <v>187017.18153115999</v>
      </c>
      <c r="E668">
        <f t="shared" si="31"/>
        <v>18185.571622219832</v>
      </c>
      <c r="F668">
        <v>24</v>
      </c>
    </row>
    <row r="669" spans="1:6" x14ac:dyDescent="0.3">
      <c r="A669" s="1" t="s">
        <v>22</v>
      </c>
      <c r="B669">
        <f t="shared" si="30"/>
        <v>19.473970000000001</v>
      </c>
      <c r="C669">
        <v>19473970</v>
      </c>
      <c r="D669">
        <v>714154.53373300005</v>
      </c>
      <c r="E669">
        <f t="shared" si="31"/>
        <v>36672.262190657581</v>
      </c>
      <c r="F669">
        <v>24</v>
      </c>
    </row>
    <row r="670" spans="1:6" x14ac:dyDescent="0.3">
      <c r="A670" s="1" t="s">
        <v>23</v>
      </c>
      <c r="B670">
        <f t="shared" si="30"/>
        <v>10.175214</v>
      </c>
      <c r="C670">
        <v>10175214</v>
      </c>
      <c r="D670">
        <v>4247099.5490873996</v>
      </c>
      <c r="E670">
        <f t="shared" si="31"/>
        <v>417396.58242936211</v>
      </c>
      <c r="F670">
        <v>24</v>
      </c>
    </row>
    <row r="671" spans="1:6" x14ac:dyDescent="0.3">
      <c r="A671" s="1" t="s">
        <v>24</v>
      </c>
      <c r="B671">
        <f t="shared" si="30"/>
        <v>2.0738940000000001</v>
      </c>
      <c r="C671">
        <v>2073894</v>
      </c>
      <c r="D671">
        <v>41927.787771000003</v>
      </c>
      <c r="E671">
        <f t="shared" si="31"/>
        <v>20216.938653084486</v>
      </c>
      <c r="F671">
        <v>24</v>
      </c>
    </row>
    <row r="672" spans="1:6" x14ac:dyDescent="0.3">
      <c r="A672" s="1" t="s">
        <v>25</v>
      </c>
      <c r="B672">
        <f t="shared" si="30"/>
        <v>5.446771</v>
      </c>
      <c r="C672">
        <v>5446771</v>
      </c>
      <c r="D672">
        <v>84455.982917108005</v>
      </c>
      <c r="E672">
        <f t="shared" si="31"/>
        <v>15505.697397064794</v>
      </c>
      <c r="F672">
        <v>24</v>
      </c>
    </row>
    <row r="673" spans="1:6" x14ac:dyDescent="0.3">
      <c r="A673" s="1" t="s">
        <v>26</v>
      </c>
      <c r="B673">
        <f t="shared" si="30"/>
        <v>66.460344000000006</v>
      </c>
      <c r="C673">
        <v>66460344</v>
      </c>
      <c r="D673">
        <v>2218196</v>
      </c>
      <c r="E673">
        <f t="shared" si="31"/>
        <v>33376.234104355521</v>
      </c>
      <c r="F673">
        <v>24</v>
      </c>
    </row>
    <row r="674" spans="1:6" x14ac:dyDescent="0.3">
      <c r="A674" s="5" t="s">
        <v>0</v>
      </c>
      <c r="B674">
        <f t="shared" si="30"/>
        <v>8.8799200000000003</v>
      </c>
      <c r="C674">
        <v>8879920</v>
      </c>
      <c r="D674">
        <v>338351.11859484005</v>
      </c>
      <c r="E674">
        <f t="shared" si="31"/>
        <v>38102.9467151551</v>
      </c>
      <c r="F674">
        <v>25</v>
      </c>
    </row>
    <row r="675" spans="1:6" x14ac:dyDescent="0.3">
      <c r="A675" s="1" t="s">
        <v>1</v>
      </c>
      <c r="B675">
        <f t="shared" si="30"/>
        <v>11.48898</v>
      </c>
      <c r="C675">
        <v>11488980</v>
      </c>
      <c r="D675">
        <v>414618.80104036001</v>
      </c>
      <c r="E675">
        <f t="shared" si="31"/>
        <v>36088.39087894313</v>
      </c>
      <c r="F675">
        <v>25</v>
      </c>
    </row>
    <row r="676" spans="1:6" x14ac:dyDescent="0.3">
      <c r="A676" s="1" t="s">
        <v>2</v>
      </c>
      <c r="B676">
        <f t="shared" si="30"/>
        <v>6.9757610000000003</v>
      </c>
      <c r="C676">
        <v>6975761</v>
      </c>
      <c r="D676">
        <v>90481.467607019003</v>
      </c>
      <c r="E676">
        <f t="shared" si="31"/>
        <v>12970.838250768482</v>
      </c>
      <c r="F676">
        <v>25</v>
      </c>
    </row>
    <row r="677" spans="1:6" x14ac:dyDescent="0.3">
      <c r="A677" s="1" t="s">
        <v>3</v>
      </c>
      <c r="B677">
        <f t="shared" si="30"/>
        <v>0.88195199999999996</v>
      </c>
      <c r="C677">
        <v>881952</v>
      </c>
      <c r="D677">
        <v>22376.795999999998</v>
      </c>
      <c r="E677">
        <f t="shared" si="31"/>
        <v>25371.897790355939</v>
      </c>
      <c r="F677">
        <v>25</v>
      </c>
    </row>
    <row r="678" spans="1:6" x14ac:dyDescent="0.3">
      <c r="A678" s="1" t="s">
        <v>4</v>
      </c>
      <c r="B678">
        <f t="shared" si="30"/>
        <v>10.67187</v>
      </c>
      <c r="C678">
        <v>10671870</v>
      </c>
      <c r="D678">
        <v>4979126.1584959002</v>
      </c>
      <c r="E678">
        <f t="shared" si="31"/>
        <v>466565.48088534625</v>
      </c>
      <c r="F678">
        <v>25</v>
      </c>
    </row>
    <row r="679" spans="1:6" ht="24" x14ac:dyDescent="0.3">
      <c r="A679" s="2" t="s">
        <v>5</v>
      </c>
      <c r="B679">
        <f t="shared" si="30"/>
        <v>83.092962</v>
      </c>
      <c r="C679">
        <v>83092962</v>
      </c>
      <c r="D679">
        <v>2989894.6533198999</v>
      </c>
      <c r="E679">
        <f t="shared" si="31"/>
        <v>35982.525852428997</v>
      </c>
      <c r="F679">
        <v>25</v>
      </c>
    </row>
    <row r="680" spans="1:6" x14ac:dyDescent="0.3">
      <c r="A680" s="1" t="s">
        <v>6</v>
      </c>
      <c r="B680">
        <f t="shared" si="30"/>
        <v>5.8144220000000004</v>
      </c>
      <c r="C680">
        <v>5814422</v>
      </c>
      <c r="D680">
        <v>2134615.4219999998</v>
      </c>
      <c r="E680">
        <f t="shared" si="31"/>
        <v>367124.26824196795</v>
      </c>
      <c r="F680">
        <v>25</v>
      </c>
    </row>
    <row r="681" spans="1:6" x14ac:dyDescent="0.3">
      <c r="A681" s="1" t="s">
        <v>7</v>
      </c>
      <c r="B681">
        <f t="shared" si="30"/>
        <v>1.3268549999999999</v>
      </c>
      <c r="C681">
        <v>1326855</v>
      </c>
      <c r="D681">
        <v>20554.113179832999</v>
      </c>
      <c r="E681">
        <f t="shared" si="31"/>
        <v>15490.851057450136</v>
      </c>
      <c r="F681">
        <v>25</v>
      </c>
    </row>
    <row r="682" spans="1:6" x14ac:dyDescent="0.3">
      <c r="A682" s="1" t="s">
        <v>8</v>
      </c>
      <c r="B682">
        <f t="shared" si="30"/>
        <v>10.721582</v>
      </c>
      <c r="C682">
        <v>10721582</v>
      </c>
      <c r="D682">
        <v>190447.54491838001</v>
      </c>
      <c r="E682">
        <f t="shared" si="31"/>
        <v>17763.007820896208</v>
      </c>
      <c r="F682">
        <v>25</v>
      </c>
    </row>
    <row r="683" spans="1:6" x14ac:dyDescent="0.3">
      <c r="A683" s="1" t="s">
        <v>31</v>
      </c>
      <c r="B683">
        <f t="shared" si="30"/>
        <v>47.134836999999997</v>
      </c>
      <c r="C683">
        <v>47134837</v>
      </c>
      <c r="D683">
        <v>1186873.6417128001</v>
      </c>
      <c r="E683">
        <f t="shared" si="31"/>
        <v>25180.391346485409</v>
      </c>
      <c r="F683">
        <v>25</v>
      </c>
    </row>
    <row r="684" spans="1:6" x14ac:dyDescent="0.3">
      <c r="A684" s="1" t="s">
        <v>9</v>
      </c>
      <c r="B684">
        <f t="shared" si="30"/>
        <v>5.5216060000000002</v>
      </c>
      <c r="C684">
        <v>5521606</v>
      </c>
      <c r="D684">
        <v>205128.00165254</v>
      </c>
      <c r="E684">
        <f t="shared" si="31"/>
        <v>37150.061350364369</v>
      </c>
      <c r="F684">
        <v>25</v>
      </c>
    </row>
    <row r="685" spans="1:6" x14ac:dyDescent="0.3">
      <c r="A685" s="1" t="s">
        <v>10</v>
      </c>
      <c r="B685">
        <f t="shared" si="30"/>
        <v>67.248925999999997</v>
      </c>
      <c r="C685">
        <v>67248926</v>
      </c>
      <c r="D685">
        <v>2252921.2568494999</v>
      </c>
      <c r="E685">
        <f t="shared" si="31"/>
        <v>33501.222857440131</v>
      </c>
      <c r="F685">
        <v>25</v>
      </c>
    </row>
    <row r="686" spans="1:6" x14ac:dyDescent="0.3">
      <c r="A686" s="1" t="s">
        <v>11</v>
      </c>
      <c r="B686">
        <f t="shared" si="30"/>
        <v>4.0672059999999997</v>
      </c>
      <c r="C686">
        <v>4067206</v>
      </c>
      <c r="D686">
        <v>376483.24895740004</v>
      </c>
      <c r="E686">
        <f t="shared" si="31"/>
        <v>92565.571785004271</v>
      </c>
      <c r="F686">
        <v>25</v>
      </c>
    </row>
    <row r="687" spans="1:6" x14ac:dyDescent="0.3">
      <c r="A687" s="1" t="s">
        <v>12</v>
      </c>
      <c r="B687">
        <f t="shared" si="30"/>
        <v>9.7711410000000001</v>
      </c>
      <c r="C687">
        <v>9771141</v>
      </c>
      <c r="D687">
        <v>35719588.262822002</v>
      </c>
      <c r="E687">
        <f t="shared" si="31"/>
        <v>3655621.0029946351</v>
      </c>
      <c r="F687">
        <v>25</v>
      </c>
    </row>
    <row r="688" spans="1:6" x14ac:dyDescent="0.3">
      <c r="A688" s="1" t="s">
        <v>13</v>
      </c>
      <c r="B688">
        <f t="shared" si="30"/>
        <v>4.9343399999999997</v>
      </c>
      <c r="C688">
        <v>4934340</v>
      </c>
      <c r="D688">
        <v>296266.30168641999</v>
      </c>
      <c r="E688">
        <f t="shared" si="31"/>
        <v>60041.728313496838</v>
      </c>
      <c r="F688">
        <v>25</v>
      </c>
    </row>
    <row r="689" spans="1:6" x14ac:dyDescent="0.3">
      <c r="A689" s="1" t="s">
        <v>14</v>
      </c>
      <c r="B689">
        <f t="shared" si="30"/>
        <v>59.729081000000001</v>
      </c>
      <c r="C689">
        <v>59729081</v>
      </c>
      <c r="D689">
        <v>1625218.7106631999</v>
      </c>
      <c r="E689">
        <f t="shared" si="31"/>
        <v>27209.839553084701</v>
      </c>
      <c r="F689">
        <v>25</v>
      </c>
    </row>
    <row r="690" spans="1:6" x14ac:dyDescent="0.3">
      <c r="A690" s="1" t="s">
        <v>15</v>
      </c>
      <c r="B690">
        <f t="shared" si="30"/>
        <v>2.7941370000000001</v>
      </c>
      <c r="C690">
        <v>2794137</v>
      </c>
      <c r="D690">
        <v>39257.577572352995</v>
      </c>
      <c r="E690">
        <f t="shared" si="31"/>
        <v>14049.983079696161</v>
      </c>
      <c r="F690">
        <v>25</v>
      </c>
    </row>
    <row r="691" spans="1:6" x14ac:dyDescent="0.3">
      <c r="A691" s="1" t="s">
        <v>16</v>
      </c>
      <c r="B691">
        <f t="shared" si="30"/>
        <v>0.62000100000000002</v>
      </c>
      <c r="C691">
        <v>620001</v>
      </c>
      <c r="D691">
        <v>52844.412649995</v>
      </c>
      <c r="E691">
        <f t="shared" si="31"/>
        <v>85232.786156788454</v>
      </c>
      <c r="F691">
        <v>25</v>
      </c>
    </row>
    <row r="692" spans="1:6" x14ac:dyDescent="0.3">
      <c r="A692" s="1" t="s">
        <v>17</v>
      </c>
      <c r="B692">
        <f t="shared" si="30"/>
        <v>1.9138219999999999</v>
      </c>
      <c r="C692">
        <v>1913822</v>
      </c>
      <c r="D692">
        <v>24169.088028541002</v>
      </c>
      <c r="E692">
        <f t="shared" si="31"/>
        <v>12628.702161716714</v>
      </c>
      <c r="F692">
        <v>25</v>
      </c>
    </row>
    <row r="693" spans="1:6" x14ac:dyDescent="0.3">
      <c r="A693" s="1" t="s">
        <v>18</v>
      </c>
      <c r="B693">
        <f t="shared" si="30"/>
        <v>0.50406200000000001</v>
      </c>
      <c r="C693">
        <v>504062</v>
      </c>
      <c r="D693">
        <v>11471.017511298</v>
      </c>
      <c r="E693">
        <f t="shared" si="31"/>
        <v>22757.155888160582</v>
      </c>
      <c r="F693">
        <v>25</v>
      </c>
    </row>
    <row r="694" spans="1:6" x14ac:dyDescent="0.3">
      <c r="A694" s="1" t="s">
        <v>19</v>
      </c>
      <c r="B694">
        <f t="shared" si="30"/>
        <v>17.344874000000001</v>
      </c>
      <c r="C694">
        <v>17344874</v>
      </c>
      <c r="D694">
        <v>728175.31440376001</v>
      </c>
      <c r="E694">
        <f t="shared" si="31"/>
        <v>41982.162245961546</v>
      </c>
      <c r="F694">
        <v>25</v>
      </c>
    </row>
    <row r="695" spans="1:6" x14ac:dyDescent="0.3">
      <c r="A695" s="1" t="s">
        <v>20</v>
      </c>
      <c r="B695">
        <f t="shared" si="30"/>
        <v>37.965474999999998</v>
      </c>
      <c r="C695">
        <v>37965475</v>
      </c>
      <c r="D695">
        <v>1996827.9333803998</v>
      </c>
      <c r="E695">
        <f t="shared" si="31"/>
        <v>52595.889643956776</v>
      </c>
      <c r="F695">
        <v>25</v>
      </c>
    </row>
    <row r="696" spans="1:6" x14ac:dyDescent="0.3">
      <c r="A696" s="1" t="s">
        <v>21</v>
      </c>
      <c r="B696">
        <f t="shared" si="30"/>
        <v>10.286263</v>
      </c>
      <c r="C696">
        <v>10286263</v>
      </c>
      <c r="D696">
        <v>192034.40423953001</v>
      </c>
      <c r="E696">
        <f t="shared" si="31"/>
        <v>18669.015583164655</v>
      </c>
      <c r="F696">
        <v>25</v>
      </c>
    </row>
    <row r="697" spans="1:6" x14ac:dyDescent="0.3">
      <c r="A697" s="1" t="s">
        <v>22</v>
      </c>
      <c r="B697">
        <f t="shared" si="30"/>
        <v>19.371648</v>
      </c>
      <c r="C697">
        <v>19371648</v>
      </c>
      <c r="D697">
        <v>744065.13432800001</v>
      </c>
      <c r="E697">
        <f t="shared" si="31"/>
        <v>38410.006950776726</v>
      </c>
      <c r="F697">
        <v>25</v>
      </c>
    </row>
    <row r="698" spans="1:6" x14ac:dyDescent="0.3">
      <c r="A698" s="1" t="s">
        <v>23</v>
      </c>
      <c r="B698">
        <f t="shared" si="30"/>
        <v>10.278886999999999</v>
      </c>
      <c r="C698">
        <v>10278887</v>
      </c>
      <c r="D698">
        <v>4331455.2650877004</v>
      </c>
      <c r="E698">
        <f t="shared" si="31"/>
        <v>421393.41205791064</v>
      </c>
      <c r="F698">
        <v>25</v>
      </c>
    </row>
    <row r="699" spans="1:6" x14ac:dyDescent="0.3">
      <c r="A699" s="1" t="s">
        <v>24</v>
      </c>
      <c r="B699">
        <f t="shared" si="30"/>
        <v>2.0883850000000002</v>
      </c>
      <c r="C699">
        <v>2088385</v>
      </c>
      <c r="D699">
        <v>43290.663153000001</v>
      </c>
      <c r="E699">
        <f t="shared" si="31"/>
        <v>20729.254018296433</v>
      </c>
      <c r="F699">
        <v>25</v>
      </c>
    </row>
    <row r="700" spans="1:6" x14ac:dyDescent="0.3">
      <c r="A700" s="1" t="s">
        <v>25</v>
      </c>
      <c r="B700">
        <f t="shared" si="30"/>
        <v>5.4541469999999999</v>
      </c>
      <c r="C700">
        <v>5454147</v>
      </c>
      <c r="D700">
        <v>86656.373191439998</v>
      </c>
      <c r="E700">
        <f t="shared" si="31"/>
        <v>15888.162382026007</v>
      </c>
      <c r="F700">
        <v>25</v>
      </c>
    </row>
    <row r="701" spans="1:6" x14ac:dyDescent="0.3">
      <c r="A701" s="1" t="s">
        <v>26</v>
      </c>
      <c r="B701">
        <f t="shared" si="30"/>
        <v>66.836326999999997</v>
      </c>
      <c r="C701">
        <v>66836327</v>
      </c>
      <c r="D701">
        <v>2255283</v>
      </c>
      <c r="E701">
        <f t="shared" si="31"/>
        <v>33743.371325596636</v>
      </c>
      <c r="F701">
        <v>25</v>
      </c>
    </row>
    <row r="702" spans="1:6" x14ac:dyDescent="0.3">
      <c r="A702" s="5" t="s">
        <v>0</v>
      </c>
      <c r="B702">
        <f t="shared" si="30"/>
        <v>8.9168640000000003</v>
      </c>
      <c r="C702">
        <v>8916864</v>
      </c>
      <c r="D702">
        <v>315564.81488646998</v>
      </c>
      <c r="E702">
        <f t="shared" si="31"/>
        <v>35389.663326307316</v>
      </c>
      <c r="F702">
        <v>26</v>
      </c>
    </row>
    <row r="703" spans="1:6" x14ac:dyDescent="0.3">
      <c r="A703" s="1" t="s">
        <v>1</v>
      </c>
      <c r="B703">
        <f t="shared" si="30"/>
        <v>11.544241</v>
      </c>
      <c r="C703">
        <v>11544241</v>
      </c>
      <c r="D703">
        <v>391152.78714363999</v>
      </c>
      <c r="E703">
        <f t="shared" si="31"/>
        <v>33882.936707890971</v>
      </c>
      <c r="F703">
        <v>26</v>
      </c>
    </row>
    <row r="704" spans="1:6" x14ac:dyDescent="0.3">
      <c r="A704" s="1" t="s">
        <v>2</v>
      </c>
      <c r="B704">
        <f t="shared" si="30"/>
        <v>6.9340149999999996</v>
      </c>
      <c r="C704">
        <v>6934015</v>
      </c>
      <c r="D704">
        <v>86511.910051230996</v>
      </c>
      <c r="E704">
        <f t="shared" si="31"/>
        <v>12476.452683074813</v>
      </c>
      <c r="F704">
        <v>26</v>
      </c>
    </row>
    <row r="705" spans="1:6" x14ac:dyDescent="0.3">
      <c r="A705" s="1" t="s">
        <v>3</v>
      </c>
      <c r="B705">
        <f t="shared" si="30"/>
        <v>0.89200500000000005</v>
      </c>
      <c r="C705">
        <v>892005</v>
      </c>
      <c r="D705">
        <v>21206.716</v>
      </c>
      <c r="E705">
        <f t="shared" si="31"/>
        <v>23774.212027959482</v>
      </c>
      <c r="F705">
        <v>26</v>
      </c>
    </row>
    <row r="706" spans="1:6" x14ac:dyDescent="0.3">
      <c r="A706" s="1" t="s">
        <v>4</v>
      </c>
      <c r="B706">
        <f t="shared" si="30"/>
        <v>10.697858</v>
      </c>
      <c r="C706">
        <v>10697858</v>
      </c>
      <c r="D706">
        <v>4690445.6911303001</v>
      </c>
      <c r="E706">
        <f t="shared" si="31"/>
        <v>438447.18177510862</v>
      </c>
      <c r="F706">
        <v>26</v>
      </c>
    </row>
    <row r="707" spans="1:6" ht="24" x14ac:dyDescent="0.3">
      <c r="A707" s="2" t="s">
        <v>5</v>
      </c>
      <c r="B707">
        <f t="shared" ref="B707:B729" si="32">C707/1000000</f>
        <v>83.160871</v>
      </c>
      <c r="C707">
        <v>83160871</v>
      </c>
      <c r="D707">
        <v>2853267.92741</v>
      </c>
      <c r="E707">
        <f t="shared" ref="E707:E729" si="33">D707/B707</f>
        <v>34310.221779783911</v>
      </c>
      <c r="F707">
        <v>26</v>
      </c>
    </row>
    <row r="708" spans="1:6" x14ac:dyDescent="0.3">
      <c r="A708" s="1" t="s">
        <v>6</v>
      </c>
      <c r="B708">
        <f t="shared" si="32"/>
        <v>5.831404</v>
      </c>
      <c r="C708">
        <v>5831404</v>
      </c>
      <c r="D708">
        <v>2090596.9850000001</v>
      </c>
      <c r="E708">
        <f t="shared" si="33"/>
        <v>358506.6280779037</v>
      </c>
      <c r="F708">
        <v>26</v>
      </c>
    </row>
    <row r="709" spans="1:6" x14ac:dyDescent="0.3">
      <c r="A709" s="1" t="s">
        <v>7</v>
      </c>
      <c r="B709">
        <f t="shared" si="32"/>
        <v>1.3294790000000001</v>
      </c>
      <c r="C709">
        <v>1329479</v>
      </c>
      <c r="D709">
        <v>19947.546961615</v>
      </c>
      <c r="E709">
        <f t="shared" si="33"/>
        <v>15004.033129981744</v>
      </c>
      <c r="F709">
        <v>26</v>
      </c>
    </row>
    <row r="710" spans="1:6" x14ac:dyDescent="0.3">
      <c r="A710" s="1" t="s">
        <v>8</v>
      </c>
      <c r="B710">
        <f t="shared" si="32"/>
        <v>10.700556000000001</v>
      </c>
      <c r="C710">
        <v>10700556</v>
      </c>
      <c r="D710">
        <v>173270.83551126998</v>
      </c>
      <c r="E710">
        <f t="shared" si="33"/>
        <v>16192.694614305086</v>
      </c>
      <c r="F710">
        <v>26</v>
      </c>
    </row>
    <row r="711" spans="1:6" x14ac:dyDescent="0.3">
      <c r="A711" s="1" t="s">
        <v>31</v>
      </c>
      <c r="B711">
        <f t="shared" si="32"/>
        <v>47.363419</v>
      </c>
      <c r="C711">
        <v>47363419</v>
      </c>
      <c r="D711">
        <v>1058419.6546434001</v>
      </c>
      <c r="E711">
        <f t="shared" si="33"/>
        <v>22346.774725941978</v>
      </c>
      <c r="F711">
        <v>26</v>
      </c>
    </row>
    <row r="712" spans="1:6" x14ac:dyDescent="0.3">
      <c r="A712" s="1" t="s">
        <v>9</v>
      </c>
      <c r="B712">
        <f t="shared" si="32"/>
        <v>5.5295430000000003</v>
      </c>
      <c r="C712">
        <v>5529543</v>
      </c>
      <c r="D712">
        <v>199384.13885604002</v>
      </c>
      <c r="E712">
        <f t="shared" si="33"/>
        <v>36057.977821320863</v>
      </c>
      <c r="F712">
        <v>26</v>
      </c>
    </row>
    <row r="713" spans="1:6" x14ac:dyDescent="0.3">
      <c r="A713" s="1" t="s">
        <v>10</v>
      </c>
      <c r="B713">
        <f t="shared" si="32"/>
        <v>67.379908</v>
      </c>
      <c r="C713">
        <v>67379908</v>
      </c>
      <c r="D713">
        <v>2075948.5235526999</v>
      </c>
      <c r="E713">
        <f t="shared" si="33"/>
        <v>30809.607569554708</v>
      </c>
      <c r="F713">
        <v>26</v>
      </c>
    </row>
    <row r="714" spans="1:6" x14ac:dyDescent="0.3">
      <c r="A714" s="1" t="s">
        <v>11</v>
      </c>
      <c r="B714">
        <f t="shared" si="32"/>
        <v>4.0472599999999996</v>
      </c>
      <c r="C714">
        <v>4047260</v>
      </c>
      <c r="D714">
        <v>345988.91746268998</v>
      </c>
      <c r="E714">
        <f t="shared" si="33"/>
        <v>85487.198119886045</v>
      </c>
      <c r="F714">
        <v>26</v>
      </c>
    </row>
    <row r="715" spans="1:6" x14ac:dyDescent="0.3">
      <c r="A715" s="1" t="s">
        <v>12</v>
      </c>
      <c r="B715">
        <f t="shared" si="32"/>
        <v>9.7501490000000004</v>
      </c>
      <c r="C715">
        <v>9750149</v>
      </c>
      <c r="D715">
        <v>34049452.120376997</v>
      </c>
      <c r="E715">
        <f t="shared" si="33"/>
        <v>3492198.131574912</v>
      </c>
      <c r="F715">
        <v>26</v>
      </c>
    </row>
    <row r="716" spans="1:6" x14ac:dyDescent="0.3">
      <c r="A716" s="1" t="s">
        <v>13</v>
      </c>
      <c r="B716">
        <f t="shared" si="32"/>
        <v>4.9856740000000004</v>
      </c>
      <c r="C716">
        <v>4985674</v>
      </c>
      <c r="D716">
        <v>313648.17027612001</v>
      </c>
      <c r="E716">
        <f t="shared" si="33"/>
        <v>62909.88345329438</v>
      </c>
      <c r="F716">
        <v>26</v>
      </c>
    </row>
    <row r="717" spans="1:6" x14ac:dyDescent="0.3">
      <c r="A717" s="1" t="s">
        <v>14</v>
      </c>
      <c r="B717">
        <f t="shared" si="32"/>
        <v>59.449527000000003</v>
      </c>
      <c r="C717">
        <v>59449527</v>
      </c>
      <c r="D717">
        <v>1479947.0328793998</v>
      </c>
      <c r="E717">
        <f t="shared" si="33"/>
        <v>24894.176750630828</v>
      </c>
      <c r="F717">
        <v>26</v>
      </c>
    </row>
    <row r="718" spans="1:6" x14ac:dyDescent="0.3">
      <c r="A718" s="1" t="s">
        <v>15</v>
      </c>
      <c r="B718">
        <f t="shared" si="32"/>
        <v>2.7948849999999998</v>
      </c>
      <c r="C718">
        <v>2794885</v>
      </c>
      <c r="D718">
        <v>39205.588137911</v>
      </c>
      <c r="E718">
        <f t="shared" si="33"/>
        <v>14027.621221592661</v>
      </c>
      <c r="F718">
        <v>26</v>
      </c>
    </row>
    <row r="719" spans="1:6" x14ac:dyDescent="0.3">
      <c r="A719" s="1" t="s">
        <v>16</v>
      </c>
      <c r="B719">
        <f t="shared" si="32"/>
        <v>0.63041899999999995</v>
      </c>
      <c r="C719">
        <v>630419</v>
      </c>
      <c r="D719">
        <v>51905.768933717001</v>
      </c>
      <c r="E719">
        <f t="shared" si="33"/>
        <v>82335.349876379056</v>
      </c>
      <c r="F719">
        <v>26</v>
      </c>
    </row>
    <row r="720" spans="1:6" x14ac:dyDescent="0.3">
      <c r="A720" s="1" t="s">
        <v>17</v>
      </c>
      <c r="B720">
        <f t="shared" si="32"/>
        <v>1.9004490000000001</v>
      </c>
      <c r="C720">
        <v>1900449</v>
      </c>
      <c r="D720">
        <v>23294.513628631001</v>
      </c>
      <c r="E720">
        <f t="shared" si="33"/>
        <v>12257.373719910926</v>
      </c>
      <c r="F720">
        <v>26</v>
      </c>
    </row>
    <row r="721" spans="1:6" x14ac:dyDescent="0.3">
      <c r="A721" s="1" t="s">
        <v>18</v>
      </c>
      <c r="B721">
        <f t="shared" si="32"/>
        <v>0.51533200000000001</v>
      </c>
      <c r="C721">
        <v>515332</v>
      </c>
      <c r="D721">
        <v>10527.140129222</v>
      </c>
      <c r="E721">
        <f t="shared" si="33"/>
        <v>20427.87975367724</v>
      </c>
      <c r="F721">
        <v>26</v>
      </c>
    </row>
    <row r="722" spans="1:6" x14ac:dyDescent="0.3">
      <c r="A722" s="1" t="s">
        <v>19</v>
      </c>
      <c r="B722">
        <f t="shared" si="32"/>
        <v>17.441500000000001</v>
      </c>
      <c r="C722">
        <v>17441500</v>
      </c>
      <c r="D722">
        <v>700514.58470513998</v>
      </c>
      <c r="E722">
        <f t="shared" si="33"/>
        <v>40163.666238863625</v>
      </c>
      <c r="F722">
        <v>26</v>
      </c>
    </row>
    <row r="723" spans="1:6" x14ac:dyDescent="0.3">
      <c r="A723" s="1" t="s">
        <v>20</v>
      </c>
      <c r="B723">
        <f t="shared" si="32"/>
        <v>37.899070000000002</v>
      </c>
      <c r="C723">
        <v>37899070</v>
      </c>
      <c r="D723">
        <v>1946095.3511253998</v>
      </c>
      <c r="E723">
        <f t="shared" si="33"/>
        <v>51349.422324225889</v>
      </c>
      <c r="F723">
        <v>26</v>
      </c>
    </row>
    <row r="724" spans="1:6" x14ac:dyDescent="0.3">
      <c r="A724" s="1" t="s">
        <v>21</v>
      </c>
      <c r="B724">
        <f t="shared" si="32"/>
        <v>10.297081</v>
      </c>
      <c r="C724">
        <v>10297081</v>
      </c>
      <c r="D724">
        <v>175821.98292318999</v>
      </c>
      <c r="E724">
        <f t="shared" si="33"/>
        <v>17074.934432698934</v>
      </c>
      <c r="F724">
        <v>26</v>
      </c>
    </row>
    <row r="725" spans="1:6" x14ac:dyDescent="0.3">
      <c r="A725" s="1" t="s">
        <v>22</v>
      </c>
      <c r="B725">
        <f t="shared" si="32"/>
        <v>19.25752</v>
      </c>
      <c r="C725">
        <v>19257520</v>
      </c>
      <c r="D725">
        <v>716178.21637599997</v>
      </c>
      <c r="E725">
        <f t="shared" si="33"/>
        <v>37189.535120617817</v>
      </c>
      <c r="F725">
        <v>26</v>
      </c>
    </row>
    <row r="726" spans="1:6" x14ac:dyDescent="0.3">
      <c r="A726" s="1" t="s">
        <v>23</v>
      </c>
      <c r="B726">
        <f t="shared" si="32"/>
        <v>10.353441999999999</v>
      </c>
      <c r="C726">
        <v>10353442</v>
      </c>
      <c r="D726">
        <v>4203758.4248390002</v>
      </c>
      <c r="E726">
        <f t="shared" si="33"/>
        <v>406025.20638440823</v>
      </c>
      <c r="F726">
        <v>26</v>
      </c>
    </row>
    <row r="727" spans="1:6" x14ac:dyDescent="0.3">
      <c r="A727" s="1" t="s">
        <v>24</v>
      </c>
      <c r="B727">
        <f t="shared" si="32"/>
        <v>2.1024189999999998</v>
      </c>
      <c r="C727">
        <v>2102419</v>
      </c>
      <c r="D727">
        <v>41459.788007000003</v>
      </c>
      <c r="E727">
        <f t="shared" si="33"/>
        <v>19720.040585154533</v>
      </c>
      <c r="F727">
        <v>26</v>
      </c>
    </row>
    <row r="728" spans="1:6" x14ac:dyDescent="0.3">
      <c r="A728" s="1" t="s">
        <v>25</v>
      </c>
      <c r="B728">
        <f t="shared" si="32"/>
        <v>5.4588270000000003</v>
      </c>
      <c r="C728">
        <v>5458827</v>
      </c>
      <c r="D728">
        <v>82879.235225145996</v>
      </c>
      <c r="E728">
        <f t="shared" si="33"/>
        <v>15182.608869111622</v>
      </c>
      <c r="F728">
        <v>26</v>
      </c>
    </row>
    <row r="729" spans="1:6" x14ac:dyDescent="0.3">
      <c r="A729" s="1" t="s">
        <v>26</v>
      </c>
      <c r="B729">
        <f t="shared" si="32"/>
        <v>61.755349840000001</v>
      </c>
      <c r="C729">
        <v>61755349.840000004</v>
      </c>
      <c r="D729">
        <v>2043373</v>
      </c>
      <c r="E729">
        <f t="shared" si="33"/>
        <v>33088.194064062642</v>
      </c>
      <c r="F729">
        <v>26</v>
      </c>
    </row>
    <row r="730" spans="1:6" x14ac:dyDescent="0.3">
      <c r="D730"/>
    </row>
  </sheetData>
  <sortState xmlns:xlrd2="http://schemas.microsoft.com/office/spreadsheetml/2017/richdata2" ref="A2:A28">
    <sortCondition ref="A2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1995-2015C</vt:lpstr>
      <vt:lpstr>index-units</vt:lpstr>
      <vt:lpstr>customization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 mas</dc:creator>
  <cp:lastModifiedBy>Eva</cp:lastModifiedBy>
  <dcterms:created xsi:type="dcterms:W3CDTF">2022-02-15T15:34:33Z</dcterms:created>
  <dcterms:modified xsi:type="dcterms:W3CDTF">2022-06-03T22:45:02Z</dcterms:modified>
</cp:coreProperties>
</file>